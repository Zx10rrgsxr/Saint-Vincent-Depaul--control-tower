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3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5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Dashboard" sheetId="2" state="visible" r:id="rId2"/>
    <sheet xmlns:r="http://schemas.openxmlformats.org/officeDocument/2006/relationships" name="Flow_Dashboard" sheetId="3" state="visible" r:id="rId3"/>
    <sheet xmlns:r="http://schemas.openxmlformats.org/officeDocument/2006/relationships" name="Slotting_Dashboard" sheetId="4" state="visible" r:id="rId4"/>
    <sheet xmlns:r="http://schemas.openxmlformats.org/officeDocument/2006/relationships" name="Project_KPIs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Capacity_Constraints" sheetId="7" state="visible" r:id="rId7"/>
    <sheet xmlns:r="http://schemas.openxmlformats.org/officeDocument/2006/relationships" name="Field_Notes" sheetId="8" state="visible" r:id="rId8"/>
    <sheet xmlns:r="http://schemas.openxmlformats.org/officeDocument/2006/relationships" name="Storage_Reallocation_Plan" sheetId="9" state="visible" r:id="rId9"/>
    <sheet xmlns:r="http://schemas.openxmlformats.org/officeDocument/2006/relationships" name="Category_Summary" sheetId="10" state="visible" r:id="rId10"/>
    <sheet xmlns:r="http://schemas.openxmlformats.org/officeDocument/2006/relationships" name="Vendor_Summary" sheetId="11" state="visible" r:id="rId11"/>
    <sheet xmlns:r="http://schemas.openxmlformats.org/officeDocument/2006/relationships" name="Monthly_Flow" sheetId="12" state="visible" r:id="rId12"/>
    <sheet xmlns:r="http://schemas.openxmlformats.org/officeDocument/2006/relationships" name="Warehouse_Capacity" sheetId="13" state="visible" r:id="rId13"/>
    <sheet xmlns:r="http://schemas.openxmlformats.org/officeDocument/2006/relationships" name="Layout_Integration" sheetId="14" state="visible" r:id="rId14"/>
    <sheet xmlns:r="http://schemas.openxmlformats.org/officeDocument/2006/relationships" name="Cube_Measurements" sheetId="15" state="visible" r:id="rId15"/>
    <sheet xmlns:r="http://schemas.openxmlformats.org/officeDocument/2006/relationships" name="Location_Map" sheetId="16" state="visible" r:id="rId16"/>
    <sheet xmlns:r="http://schemas.openxmlformats.org/officeDocument/2006/relationships" name="Lookup_Tables" sheetId="17" state="visible" r:id="rId17"/>
    <sheet xmlns:r="http://schemas.openxmlformats.org/officeDocument/2006/relationships" name="Slotting_Model" sheetId="18" state="visible" r:id="rId18"/>
    <sheet xmlns:r="http://schemas.openxmlformats.org/officeDocument/2006/relationships" name="Recommendations" sheetId="19" state="visible" r:id="rId19"/>
    <sheet xmlns:r="http://schemas.openxmlformats.org/officeDocument/2006/relationships" name="Clean_Transactions" sheetId="20" state="visible" r:id="rId20"/>
    <sheet xmlns:r="http://schemas.openxmlformats.org/officeDocument/2006/relationships" name="Water_Unique" sheetId="21" state="visible" r:id="rId21"/>
    <sheet xmlns:r="http://schemas.openxmlformats.org/officeDocument/2006/relationships" name="Raw_GL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.00;[Red]\(\$#,##0.00\);\-"/>
    <numFmt numFmtId="165" formatCode="#,##0;[Red]\(#,##0\);\-"/>
    <numFmt numFmtId="166" formatCode="0.0%"/>
    <numFmt numFmtId="167" formatCode="0.0"/>
    <numFmt numFmtId="168" formatCode="dd\-mmm\-yy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666666"/>
      <sz val="11"/>
    </font>
    <font>
      <name val="Calibri"/>
      <b val="1"/>
      <color rgb="FF000000"/>
      <sz val="11"/>
    </font>
    <font>
      <name val="Calibri"/>
      <b val="1"/>
      <color rgb="FF0000FF"/>
      <sz val="11"/>
    </font>
    <font>
      <name val="Calibri"/>
      <color rgb="FF0000FF"/>
      <sz val="11"/>
    </font>
    <font>
      <name val="Calibri"/>
      <b val="1"/>
      <sz val="11"/>
    </font>
    <font>
      <name val="Calibri"/>
      <b val="1"/>
      <sz val="13"/>
    </font>
    <font>
      <name val="Calibri"/>
      <b val="1"/>
      <sz val="12"/>
    </font>
    <font>
      <name val="Calibri"/>
      <b val="1"/>
      <sz val="14"/>
    </font>
    <font>
      <name val="Calibri"/>
      <b val="1"/>
      <sz val="11"/>
    </font>
    <font>
      <name val="Calibri"/>
      <b val="1"/>
      <color rgb="FFFFFFFF"/>
      <sz val="12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sz val="16"/>
    </font>
    <font>
      <b val="1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D9F0EE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6" fillId="8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7" fontId="0" fillId="0" borderId="0" pivotButton="0" quotePrefix="0" xfId="0"/>
    <xf numFmtId="167" fontId="0" fillId="0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  <xf numFmtId="165" fontId="5" fillId="0" borderId="0" pivotButton="0" quotePrefix="0" xfId="0"/>
    <xf numFmtId="0" fontId="0" fillId="7" borderId="0" pivotButton="0" quotePrefix="0" xfId="0"/>
    <xf numFmtId="0" fontId="0" fillId="4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9" borderId="0" pivotButton="0" quotePrefix="0" xfId="0"/>
    <xf numFmtId="0" fontId="10" fillId="9" borderId="2" applyAlignment="1" pivotButton="0" quotePrefix="0" xfId="0">
      <alignment horizontal="center" vertical="center" wrapText="1"/>
    </xf>
    <xf numFmtId="0" fontId="0" fillId="11" borderId="0" pivotButton="0" quotePrefix="0" xfId="0"/>
    <xf numFmtId="0" fontId="10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0" fontId="13" fillId="12" borderId="0" applyAlignment="1" pivotButton="0" quotePrefix="0" xfId="0">
      <alignment horizontal="center" vertical="center" wrapText="1"/>
    </xf>
    <xf numFmtId="165" fontId="13" fillId="12" borderId="0" applyAlignment="1" pivotButton="0" quotePrefix="0" xfId="0">
      <alignment horizontal="center" vertical="center" wrapText="1"/>
    </xf>
    <xf numFmtId="0" fontId="14" fillId="10" borderId="0" pivotButton="0" quotePrefix="0" xfId="0"/>
    <xf numFmtId="0" fontId="10" fillId="9" borderId="1" applyAlignment="1" pivotButton="0" quotePrefix="0" xfId="0">
      <alignment horizontal="center" vertical="center"/>
    </xf>
    <xf numFmtId="0" fontId="10" fillId="0" borderId="0" pivotButton="0" quotePrefix="0" xfId="0"/>
    <xf numFmtId="0" fontId="10" fillId="9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1" fillId="10" borderId="0" pivotButton="0" quotePrefix="0" xfId="0"/>
    <xf numFmtId="0" fontId="9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16" fillId="13" borderId="1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 wrapText="1"/>
    </xf>
    <xf numFmtId="0" fontId="17" fillId="1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Spend by Category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Category_Summary!$C$3</f>
              <strCache>
                <ptCount val="1"/>
                <pt idx="0">
                  <v>Net Spend ($)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Category_Summary!$A$4:$A$6</f>
              <strCache>
                <ptCount val="3"/>
                <pt idx="0">
                  <v>Food</v>
                </pt>
                <pt idx="1">
                  <v>Meat</v>
                </pt>
                <pt idx="2">
                  <v>Water</v>
                </pt>
              </strCache>
            </strRef>
          </cat>
          <val>
            <numRef>
              <f>Category_Summary!$C$4:$C$6</f>
              <numCache>
                <formatCode>\$#,##0.00;[Red]\(\$#,##0.00\);\-</formatCode>
                <ptCount val="3"/>
                <pt idx="0">
                  <v>599922.09</v>
                </pt>
                <pt idx="1">
                  <v>40560.8</v>
                </pt>
                <pt idx="2">
                  <v>85568.25000000001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Category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$</a:t>
                </a:r>
              </a:p>
            </rich>
          </tx>
          <overlay val="1"/>
        </title>
        <numFmt formatCode="\$#,##0.00;[Red]\(\$#,##0.00\);\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Monthly Spend Trend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Executive_Dashboard!$I$17</f>
              <strCache>
                <ptCount val="1"/>
                <pt idx="0">
                  <v>Net Spend ($)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Executive_Dashboard!$H$18:$H$28</f>
              <numCache>
                <formatCode>mmm\-yy</formatCode>
                <ptCount val="11"/>
                <pt idx="0">
                  <v>45566</v>
                </pt>
                <pt idx="1">
                  <v>45597</v>
                </pt>
                <pt idx="2">
                  <v>45627</v>
                </pt>
                <pt idx="3">
                  <v>45658</v>
                </pt>
                <pt idx="4">
                  <v>45689</v>
                </pt>
                <pt idx="5">
                  <v>45717</v>
                </pt>
                <pt idx="6">
                  <v>45748</v>
                </pt>
                <pt idx="7">
                  <v>45809</v>
                </pt>
                <pt idx="8">
                  <v>45839</v>
                </pt>
                <pt idx="9">
                  <v>45870</v>
                </pt>
                <pt idx="10">
                  <v>45901</v>
                </pt>
              </numCache>
            </numRef>
          </cat>
          <val>
            <numRef>
              <f>Executive_Dashboard!$I$18:$I$28</f>
              <numCache>
                <formatCode>\$#,##0.00;[Red]\(\$#,##0.00\);\-</formatCode>
                <ptCount val="11"/>
                <pt idx="0">
                  <v>63380.44</v>
                </pt>
                <pt idx="1">
                  <v>87215.87</v>
                </pt>
                <pt idx="2">
                  <v>62474.12</v>
                </pt>
                <pt idx="3">
                  <v>3561.6</v>
                </pt>
                <pt idx="4">
                  <v>3561.6</v>
                </pt>
                <pt idx="5">
                  <v>155712.6</v>
                </pt>
                <pt idx="6">
                  <v>74243.13</v>
                </pt>
                <pt idx="7">
                  <v>40638.24</v>
                </pt>
                <pt idx="8">
                  <v>136090.8</v>
                </pt>
                <pt idx="9">
                  <v>37459.2</v>
                </pt>
                <pt idx="10">
                  <v>61717.10000000001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dateAx>
        <axId val="10"/>
        <scaling>
          <orientation val="minMax"/>
        </scaling>
        <delete val="1"/>
        <axPos val="b"/>
        <numFmt formatCode="mmm\-yy" sourceLinked="1"/>
        <majorTickMark val="none"/>
        <minorTickMark val="none"/>
        <tickLblPos val="nextTo"/>
        <crossAx val="100"/>
        <crosses val="autoZero"/>
        <lblOffset val="100"/>
        <baseTimeUnit val="months"/>
      </date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$</a:t>
                </a:r>
              </a:p>
            </rich>
          </tx>
          <overlay val="1"/>
        </title>
        <numFmt formatCode="\$#,##0.00;[Red]\(\$#,##0.00\);\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Inbound vs Net Usable by Month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Flow_Dashboard!$M$10</f>
              <strCache>
                <ptCount val="1"/>
                <pt idx="0">
                  <v>Inbound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Flow_Dashboard!$L$11:$L$14</f>
              <strCache>
                <ptCount val="4"/>
                <pt idx="0">
                  <v>Oct-2025</v>
                </pt>
                <pt idx="1">
                  <v>Nov-2025</v>
                </pt>
                <pt idx="2">
                  <v>Dec-2025</v>
                </pt>
                <pt idx="3">
                  <v>Jan-2026</v>
                </pt>
              </strCache>
            </strRef>
          </cat>
          <val>
            <numRef>
              <f>Flow_Dashboard!$M$11:$M$14</f>
              <numCache>
                <formatCode>General</formatCode>
                <ptCount val="4"/>
                <pt idx="0">
                  <v>91655</v>
                </pt>
                <pt idx="1">
                  <v>158333</v>
                </pt>
                <pt idx="2">
                  <v>130866</v>
                </pt>
                <pt idx="3">
                  <v>466900</v>
                </pt>
              </numCache>
            </numRef>
          </val>
        </ser>
        <ser>
          <idx val="1"/>
          <order val="1"/>
          <tx>
            <strRef>
              <f>Flow_Dashboard!$N$10</f>
              <strCache>
                <ptCount val="1"/>
                <pt idx="0">
                  <v>Net Usable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Flow_Dashboard!$L$11:$L$14</f>
              <strCache>
                <ptCount val="4"/>
                <pt idx="0">
                  <v>Oct-2025</v>
                </pt>
                <pt idx="1">
                  <v>Nov-2025</v>
                </pt>
                <pt idx="2">
                  <v>Dec-2025</v>
                </pt>
                <pt idx="3">
                  <v>Jan-2026</v>
                </pt>
              </strCache>
            </strRef>
          </cat>
          <val>
            <numRef>
              <f>Flow_Dashboard!$N$11:$N$14</f>
              <numCache>
                <formatCode>General</formatCode>
                <ptCount val="4"/>
                <pt idx="0">
                  <v>20547</v>
                </pt>
                <pt idx="1">
                  <v>114373</v>
                </pt>
                <pt idx="2">
                  <v>95886</v>
                </pt>
                <pt idx="3">
                  <v>420122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Pounds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Net Usable Yield %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Flow_Dashboard!$O$10</f>
              <strCache>
                <ptCount val="1"/>
                <pt idx="0">
                  <v>Yield %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Flow_Dashboard!$L$11:$L$14</f>
              <strCache>
                <ptCount val="4"/>
                <pt idx="0">
                  <v>Oct-2025</v>
                </pt>
                <pt idx="1">
                  <v>Nov-2025</v>
                </pt>
                <pt idx="2">
                  <v>Dec-2025</v>
                </pt>
                <pt idx="3">
                  <v>Jan-2026</v>
                </pt>
              </strCache>
            </strRef>
          </cat>
          <val>
            <numRef>
              <f>Flow_Dashboard!$O$11:$O$14</f>
              <numCache>
                <formatCode>0.0%</formatCode>
                <ptCount val="4"/>
                <pt idx="0">
                  <v>0.2241776226065136</v>
                </pt>
                <pt idx="1">
                  <v>0.7223573102259163</v>
                </pt>
                <pt idx="2">
                  <v>0.7327036816285361</v>
                </pt>
                <pt idx="3">
                  <v>0.8998115228100235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%</a:t>
                </a:r>
              </a:p>
            </rich>
          </tx>
          <overlay val="1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Processing Losses (RTV + Garbage)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Flow_Dashboard!$R$10</f>
              <strCache>
                <ptCount val="1"/>
                <pt idx="0">
                  <v>RTV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Flow_Dashboard!$Q$11:$Q$14</f>
              <strCache>
                <ptCount val="4"/>
                <pt idx="0">
                  <v>Oct-2025</v>
                </pt>
                <pt idx="1">
                  <v>Nov-2025</v>
                </pt>
                <pt idx="2">
                  <v>Dec-2025</v>
                </pt>
                <pt idx="3">
                  <v>Jan-2026</v>
                </pt>
              </strCache>
            </strRef>
          </cat>
          <val>
            <numRef>
              <f>Flow_Dashboard!$R$11:$R$14</f>
              <numCache>
                <formatCode>General</formatCode>
                <ptCount val="4"/>
                <pt idx="0">
                  <v>4728</v>
                </pt>
                <pt idx="1">
                  <v>0</v>
                </pt>
                <pt idx="2">
                  <v>0</v>
                </pt>
                <pt idx="3">
                  <v>8178</v>
                </pt>
              </numCache>
            </numRef>
          </val>
        </ser>
        <ser>
          <idx val="1"/>
          <order val="1"/>
          <tx>
            <strRef>
              <f>Flow_Dashboard!$S$10</f>
              <strCache>
                <ptCount val="1"/>
                <pt idx="0">
                  <v>Garbage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Flow_Dashboard!$Q$11:$Q$14</f>
              <strCache>
                <ptCount val="4"/>
                <pt idx="0">
                  <v>Oct-2025</v>
                </pt>
                <pt idx="1">
                  <v>Nov-2025</v>
                </pt>
                <pt idx="2">
                  <v>Dec-2025</v>
                </pt>
                <pt idx="3">
                  <v>Jan-2026</v>
                </pt>
              </strCache>
            </strRef>
          </cat>
          <val>
            <numRef>
              <f>Flow_Dashboard!$S$11:$S$14</f>
              <numCache>
                <formatCode>General</formatCode>
                <ptCount val="4"/>
                <pt idx="0">
                  <v>66380</v>
                </pt>
                <pt idx="1">
                  <v>43960</v>
                </pt>
                <pt idx="2">
                  <v>34980</v>
                </pt>
                <pt idx="3">
                  <v>38600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Pounds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Storage Priority Score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'Slotting_Dashboard'!D10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'Slotting_Dashboard'!$A$11:$A$25</f>
            </numRef>
          </cat>
          <val>
            <numRef>
              <f>'Slotting_Dashboard'!$D$11:$D$25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Bucket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'Slotting_Dashboard'!B26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'Slotting_Dashboard'!$A$27:$A$29</f>
            </numRef>
          </cat>
          <val>
            <numRef>
              <f>'Slotting_Dashboard'!$B$27:$B$29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Hybrid Location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'Slotting_Dashboard'!N26</f>
            </strRef>
          </tx>
          <spPr>
            <a:ln xmlns:a="http://schemas.openxmlformats.org/drawingml/2006/main">
              <a:prstDash val="solid"/>
            </a:ln>
          </spPr>
          <cat>
            <numRef>
              <f>'Slotting_Dashboard'!$M$27:$M$31</f>
            </numRef>
          </cat>
          <val>
            <numRef>
              <f>'Slotting_Dashboard'!$N$27:$N$31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by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'Slotting_Dashboard'!R26</f>
            </strRef>
          </tx>
          <spPr>
            <a:ln xmlns:a="http://schemas.openxmlformats.org/drawingml/2006/main">
              <a:prstDash val="solid"/>
            </a:ln>
          </spPr>
          <cat>
            <numRef>
              <f>'Slotting_Dashboard'!$Q$27:$Q$30</f>
            </numRef>
          </cat>
          <val>
            <numRef>
              <f>'Slotting_Dashboard'!$R$27:$R$30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C10" authorId="0" shapeId="0">
      <text>
        <t>Recommended final location pulled from the updated Slotting_Model after the cube-measurement columns were added.</t>
      </text>
    </comment>
    <comment ref="D10" authorId="0" shapeId="0">
      <text>
        <t>Storage Priority Score is pulled from Slotting_Model column X.</t>
      </text>
    </comment>
    <comment ref="E10" authorId="0" shapeId="0">
      <text>
        <t>Reason is pulled from the final model explanation column.</t>
      </text>
    </comment>
    <comment ref="B27" authorId="0" shapeId="0">
      <text>
        <t>Counts items recommended to A-level from Slotting_Model column Y.</t>
      </text>
    </comment>
    <comment ref="B28" authorId="0" shapeId="0">
      <text>
        <t>Counts items recommended to B-level from Slotting_Model column Y.</t>
      </text>
    </comment>
    <comment ref="B29" authorId="0" shapeId="0">
      <text>
        <t>Counts items recommended to C-level from Slotting_Model column Y.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7" authorId="0" shapeId="0">
      <text>
        <t>Uses only unique Niagara water orders (rows 4:18) and excludes the summary row.</t>
      </text>
    </comment>
    <comment ref="B8" authorId="0" shapeId="0">
      <text>
        <t>Counts only unique Niagara invoice rows (rows 4:18).</t>
      </text>
    </comment>
    <comment ref="B13" authorId="0" shapeId="0">
      <text>
        <t>Estimated 8% savings based on unique Niagara water spend.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I4" authorId="0" shapeId="0">
      <text>
        <t>A-level locations are the premium storage positions and should be used for high-usage, high-flow, or bulk/heavier items.</t>
      </text>
    </comment>
    <comment ref="I5" authorId="0" shapeId="0">
      <text>
        <t>B-level locations are standard medium-priority storage positions.</t>
      </text>
    </comment>
    <comment ref="I6" authorId="0" shapeId="0">
      <text>
        <t>C-level locations are best for slower-moving, reserve, or overflow items.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K3" authorId="0" shapeId="0">
      <text>
        <t>Average cube height used in model. Site measurements ranged from 5'3" to 6'1".</t>
      </text>
    </comment>
    <comment ref="N3" authorId="0" shapeId="0">
      <text>
        <t>Cube volume in cubic feet calculated from height × width × depth.</t>
      </text>
    </comment>
    <comment ref="O3" authorId="0" shapeId="0">
      <text>
        <t>Estimated minimum required item volume by item type.</t>
      </text>
    </comment>
    <comment ref="P3" authorId="0" shapeId="0">
      <text>
        <t>Checks whether the assumed item volume fits inside the average cube size.</t>
      </text>
    </comment>
    <comment ref="Q3" authorId="0" shapeId="0">
      <text>
        <t>Estimated cube utilization ratio = required volume / available cube volume.</t>
      </text>
    </comment>
    <comment ref="X3" authorId="0" shapeId="0">
      <text>
        <t>Storage Priority Score = Usage + Flow + Qty Received Score + Qty Held Score + Item Type Weight + Max(Inbound/Outbound Frequency Score), all weighted by Controls.</t>
      </text>
    </comment>
    <comment ref="AB3" authorId="0" shapeId="0">
      <text>
        <t>Final recommended location. If the assumed item volume does not fit the cube, the model returns Manual Review instead of forcing a slot.</t>
      </text>
    </comment>
    <comment ref="AD3" authorId="0" shapeId="0">
      <text>
        <t>Derived bulk flag: an item is treated as Bulk if Item_Type is Bulk or Qty_Held exceeds the bulk cutoff in Controls.</t>
      </text>
    </comment>
    <comment ref="AG3" authorId="0" shapeId="0">
      <text>
        <t>Preferred warehouse area derived from the item and the uploaded layouts: GIK, FOOD, GARAGE/KITCHEN, or ADDITIONS.</t>
      </text>
    </comment>
    <comment ref="AH3" authorId="0" shapeId="0">
      <text>
        <t>Capacity_Bucket is now assigned by score rank: top 5 = Premium, next 6 = Standard, last 4 = Reserve.</t>
      </text>
    </comment>
    <comment ref="AI3" authorId="0" shapeId="0">
      <text>
        <t>Final implementation location after applying a capacity constraint. Only top-ranked items can use premium A-level/front slots; others are distributed across standard and reserve storage.</t>
      </text>
    </comment>
    <comment ref="AK3" authorId="0" shapeId="0">
      <text>
        <t>Within each bucket, items are now ordered by score rank rather than row order.</t>
      </text>
    </comment>
    <comment ref="AL3" authorId="0" shapeId="0">
      <text>
        <t>Depth-optimized practical location. This refines the capacity-constrained plan by distributing items across 1/2/3 positions within the same A/B/C bucket.</t>
      </text>
    </comment>
    <comment ref="AO3" authorId="0" shapeId="0">
      <text>
        <t>Hybrid_Location follows the requested order: A1, B1, C1, A2, B2, A3, B3, C2, C3.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D8" authorId="0" shapeId="0">
      <text>
        <t>This row was excluded because the amount 3.56 is inconsistent with the Niagara invoice pattern of 3,561.60.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19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4.5"/>
  <cols>
    <col width="22" customWidth="1" style="38" min="1" max="1"/>
    <col width="110" customWidth="1" style="38" min="2" max="2"/>
  </cols>
  <sheetData>
    <row r="1" ht="18.5" customHeight="1" s="38">
      <c r="A1" s="37" t="inlineStr">
        <is>
          <t>SVDP Comprehensive Excel Workbook</t>
        </is>
      </c>
    </row>
    <row r="3">
      <c r="A3" s="1" t="inlineStr">
        <is>
          <t>Purpose</t>
        </is>
      </c>
      <c r="B3" s="42" t="inlineStr">
        <is>
          <t>Excel-first decision-support model for donated-goods space optimization, goods flow, and procurement analysis.</t>
        </is>
      </c>
    </row>
    <row r="4">
      <c r="A4" s="1" t="inlineStr">
        <is>
          <t>How to present</t>
        </is>
      </c>
      <c r="B4" s="42" t="inlineStr">
        <is>
          <t>Start with Executive_Dashboard, then Flow_Dashboard, then Slotting_Dashboard. Use Recommendations last.</t>
        </is>
      </c>
    </row>
    <row r="5">
      <c r="A5" s="1" t="inlineStr">
        <is>
          <t>What is editable</t>
        </is>
      </c>
      <c r="B5" s="42" t="inlineStr">
        <is>
          <t>Only yellow cells in Controls and any estimated quantities in Slotting_Model if you receive better counts.</t>
        </is>
      </c>
    </row>
    <row r="6">
      <c r="A6" s="1" t="inlineStr">
        <is>
          <t>Key data sources</t>
        </is>
      </c>
      <c r="B6" s="42" t="inlineStr">
        <is>
          <t>General Ledger, uploaded invoices, monthly result workbooks, warehouse layout redesigns, and rack sketch.</t>
        </is>
      </c>
    </row>
    <row r="7">
      <c r="A7" s="1" t="inlineStr">
        <is>
          <t>Important note</t>
        </is>
      </c>
      <c r="B7" s="42" t="inlineStr">
        <is>
          <t>Qty_Held values are planning assumptions so the model can run now. Update later if the client provides exact inventory.</t>
        </is>
      </c>
    </row>
    <row r="20">
      <c r="A20" s="35" t="inlineStr">
        <is>
          <t>Important</t>
        </is>
      </c>
      <c r="B20" s="42" t="inlineStr">
        <is>
          <t>Open this workbook in Excel desktop and save once so all formulas and charts recalculate and display cached values correctly.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zoomScale="88" workbookViewId="0">
      <pane ySplit="3" topLeftCell="A17" activePane="bottomLeft" state="frozen"/>
      <selection pane="bottomLeft" activeCell="G17" sqref="G17"/>
    </sheetView>
  </sheetViews>
  <sheetFormatPr baseColWidth="8" defaultRowHeight="14.5"/>
  <cols>
    <col width="18" customWidth="1" style="38" min="1" max="4"/>
    <col width="4" customWidth="1" style="38" min="5" max="5"/>
    <col width="58" customWidth="1" style="38" min="6" max="6"/>
    <col width="14" customWidth="1" style="38" min="7" max="8"/>
    <col width="16" customWidth="1" style="38" min="9" max="9"/>
    <col width="20" customWidth="1" style="38" min="10" max="10"/>
    <col width="14" customWidth="1" style="38" min="11" max="12"/>
  </cols>
  <sheetData>
    <row r="1" ht="18.5" customHeight="1" s="38">
      <c r="A1" s="37" t="inlineStr">
        <is>
          <t>SVDP Donated Goods Space Optimization – Executive Dashboard</t>
        </is>
      </c>
    </row>
    <row r="3" ht="101.5" customHeight="1" s="38">
      <c r="A3" s="3" t="inlineStr">
        <is>
          <t>Project objective:</t>
        </is>
      </c>
      <c r="B3" s="42" t="inlineStr">
        <is>
          <t>Optimize space utilization and goods flow through slotting, bin classification, and warehouse redesign.</t>
        </is>
      </c>
    </row>
    <row r="5">
      <c r="A5" s="4" t="inlineStr">
        <is>
          <t>Total Spend</t>
        </is>
      </c>
      <c r="D5" s="4" t="inlineStr">
        <is>
          <t>Capacity Increase</t>
        </is>
      </c>
      <c r="G5" s="4" t="inlineStr">
        <is>
          <t>Water Orders</t>
        </is>
      </c>
      <c r="J5" s="4" t="inlineStr">
        <is>
          <t>Est. Water Savings</t>
        </is>
      </c>
    </row>
    <row r="6" ht="17" customHeight="1" s="38">
      <c r="A6" s="5">
        <f>Project_KPIs!B4</f>
        <v/>
      </c>
      <c r="D6" s="6">
        <f>Project_KPIs!B10</f>
        <v/>
      </c>
      <c r="G6" s="6">
        <f>Project_KPIs!B8</f>
        <v/>
      </c>
      <c r="J6" s="5">
        <f>Project_KPIs!B13</f>
        <v/>
      </c>
    </row>
    <row r="9" ht="15.5" customHeight="1" s="38">
      <c r="A9" s="7" t="inlineStr">
        <is>
          <t>Before vs After</t>
        </is>
      </c>
      <c r="F9" s="7" t="inlineStr">
        <is>
          <t>Key Insights</t>
        </is>
      </c>
    </row>
    <row r="10" ht="29" customHeight="1" s="38">
      <c r="A10" s="8" t="inlineStr">
        <is>
          <t>Metric</t>
        </is>
      </c>
      <c r="B10" s="8" t="inlineStr">
        <is>
          <t>Before</t>
        </is>
      </c>
      <c r="C10" s="8" t="inlineStr">
        <is>
          <t>After / Impact</t>
        </is>
      </c>
      <c r="F10" s="42" t="inlineStr">
        <is>
          <t>• Water ordering is highly repetitive, indicating a contract opportunity.</t>
        </is>
      </c>
    </row>
    <row r="11" ht="29" customHeight="1" s="38">
      <c r="A11" t="inlineStr">
        <is>
          <t>Pallet Capacity</t>
        </is>
      </c>
      <c r="B11" s="9">
        <f>Warehouse_Capacity!B8</f>
        <v/>
      </c>
      <c r="C11" s="9">
        <f>Warehouse_Capacity!C8</f>
        <v/>
      </c>
      <c r="F11" s="42" t="inlineStr">
        <is>
          <t>• Warehouse redesign uses the 4 uploaded layout files; quantified net pallet gain is 251 positions.</t>
        </is>
      </c>
    </row>
    <row r="12" ht="29" customHeight="1" s="38">
      <c r="A12" t="inlineStr">
        <is>
          <t>Capacity Change</t>
        </is>
      </c>
      <c r="B12" t="inlineStr">
        <is>
          <t>-</t>
        </is>
      </c>
      <c r="C12" s="9">
        <f>Warehouse_Capacity!D8</f>
        <v/>
      </c>
      <c r="F12" s="42" t="inlineStr">
        <is>
          <t>• GIK delivers the strongest capacity gain and should support high-flow items.</t>
        </is>
      </c>
    </row>
    <row r="13" ht="29" customHeight="1" s="38">
      <c r="A13" t="inlineStr">
        <is>
          <t>Capacity Change %</t>
        </is>
      </c>
      <c r="B13" t="inlineStr">
        <is>
          <t>-</t>
        </is>
      </c>
      <c r="C13" s="10">
        <f>Warehouse_Capacity!E8</f>
        <v/>
      </c>
      <c r="F13" s="42" t="inlineStr">
        <is>
          <t>• Slotting recommendations prioritize usage, flow, quantity received, quantity held, and item type.</t>
        </is>
      </c>
    </row>
    <row r="14">
      <c r="A14" t="inlineStr">
        <is>
          <t>Water Spend</t>
        </is>
      </c>
      <c r="B14" t="inlineStr">
        <is>
          <t>-</t>
        </is>
      </c>
      <c r="C14" s="11">
        <f>Project_KPIs!B7</f>
        <v/>
      </c>
      <c r="F14" t="inlineStr">
        <is>
          <t>• Final plan applies a capacity constraint so only top-ranked items use premium locations; remaining items are distributed across FOOD, GIK, GARAGE/KITCHEN, and ADDITIONS.</t>
        </is>
      </c>
    </row>
    <row r="16">
      <c r="F16" t="inlineStr">
        <is>
          <t>• The final reallocation plan now uses one consistent hybrid location logic across all slotting sheets.</t>
        </is>
      </c>
    </row>
    <row r="17">
      <c r="H17" s="8" t="inlineStr">
        <is>
          <t>Month</t>
        </is>
      </c>
      <c r="I17" s="8" t="inlineStr">
        <is>
          <t>Net Spend ($)</t>
        </is>
      </c>
    </row>
    <row r="18">
      <c r="H18" s="12" t="n">
        <v>45566</v>
      </c>
      <c r="I18" s="11" t="n">
        <v>63380.44</v>
      </c>
    </row>
    <row r="19">
      <c r="H19" s="12" t="n">
        <v>45597</v>
      </c>
      <c r="I19" s="11" t="n">
        <v>87215.87</v>
      </c>
    </row>
    <row r="20">
      <c r="H20" s="12" t="n">
        <v>45627</v>
      </c>
      <c r="I20" s="11" t="n">
        <v>62474.12</v>
      </c>
    </row>
    <row r="21">
      <c r="H21" s="12" t="n">
        <v>45658</v>
      </c>
      <c r="I21" s="11" t="n">
        <v>3561.6</v>
      </c>
    </row>
    <row r="22">
      <c r="H22" s="12" t="n">
        <v>45689</v>
      </c>
      <c r="I22" s="11" t="n">
        <v>3561.6</v>
      </c>
    </row>
    <row r="23">
      <c r="H23" s="12" t="n">
        <v>45717</v>
      </c>
      <c r="I23" s="11" t="n">
        <v>155712.6</v>
      </c>
    </row>
    <row r="24">
      <c r="H24" s="12" t="n">
        <v>45748</v>
      </c>
      <c r="I24" s="11" t="n">
        <v>74243.13</v>
      </c>
    </row>
    <row r="25">
      <c r="H25" s="12" t="n">
        <v>45809</v>
      </c>
      <c r="I25" s="11" t="n">
        <v>40638.24</v>
      </c>
    </row>
    <row r="26">
      <c r="H26" s="12" t="n">
        <v>45839</v>
      </c>
      <c r="I26" s="11" t="n">
        <v>136090.8</v>
      </c>
    </row>
    <row r="27">
      <c r="H27" s="12" t="n">
        <v>45870</v>
      </c>
      <c r="I27" s="11" t="n">
        <v>37459.2</v>
      </c>
    </row>
    <row r="28">
      <c r="H28" s="12" t="n">
        <v>45901</v>
      </c>
      <c r="I28" s="11" t="n">
        <v>61717.10000000001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pane ySplit="3" topLeftCell="A4" activePane="bottomLeft" state="frozen"/>
      <selection pane="bottomLeft" activeCell="A1" sqref="A1:J1"/>
    </sheetView>
  </sheetViews>
  <sheetFormatPr baseColWidth="8" defaultRowHeight="14.5"/>
  <cols>
    <col width="12" customWidth="1" style="38" min="1" max="1"/>
    <col width="15" customWidth="1" style="38" min="2" max="2"/>
    <col width="20" customWidth="1" style="38" min="3" max="3"/>
    <col width="16" customWidth="1" style="38" min="4" max="5"/>
    <col width="20" customWidth="1" style="38" min="6" max="6"/>
    <col width="12" customWidth="1" style="38" min="7" max="7"/>
    <col width="16" customWidth="1" style="38" min="8" max="10"/>
    <col width="60" customWidth="1" style="38" min="23" max="23"/>
  </cols>
  <sheetData>
    <row r="1" ht="18.5" customHeight="1" s="38">
      <c r="A1" s="37" t="inlineStr">
        <is>
          <t>Goods Flow Dashboard</t>
        </is>
      </c>
    </row>
    <row r="3" ht="130.5" customHeight="1" s="38">
      <c r="A3" s="42" t="inlineStr">
        <is>
          <t>Monthly goods-flow view showing inbound volume, usable output, and processing losses (waste + RTV) to support slotting decisions.</t>
        </is>
      </c>
    </row>
    <row r="5" ht="29" customHeight="1" s="38">
      <c r="A5" s="31" t="inlineStr">
        <is>
          <t>Total Inbound lbs</t>
        </is>
      </c>
      <c r="B5" s="31" t="n"/>
      <c r="C5" s="31" t="n"/>
      <c r="D5" s="31" t="inlineStr">
        <is>
          <t>Net Usable lbs</t>
        </is>
      </c>
      <c r="E5" s="31" t="n"/>
      <c r="F5" s="31" t="n"/>
      <c r="G5" s="31" t="inlineStr">
        <is>
          <t>Water Orders</t>
        </is>
      </c>
      <c r="H5" s="31" t="n"/>
      <c r="I5" s="31" t="n"/>
      <c r="J5" s="31" t="inlineStr">
        <is>
          <t>Net Capacity Gain</t>
        </is>
      </c>
      <c r="K5" s="31" t="n"/>
      <c r="L5" s="31" t="n"/>
    </row>
    <row r="6" ht="17" customHeight="1" s="38">
      <c r="A6" s="32">
        <f>Monthly_Flow!I8</f>
        <v/>
      </c>
      <c r="B6" s="31" t="n"/>
      <c r="C6" s="31" t="n"/>
      <c r="D6" s="32">
        <f>Monthly_Flow!J8</f>
        <v/>
      </c>
      <c r="E6" s="31" t="n"/>
      <c r="F6" s="31" t="n"/>
      <c r="G6" s="32">
        <f>Project_KPIs!B8</f>
        <v/>
      </c>
      <c r="H6" s="31" t="n"/>
      <c r="I6" s="31" t="n"/>
      <c r="J6" s="32">
        <f>Project_KPIs!B10</f>
        <v/>
      </c>
      <c r="K6" s="31" t="n"/>
      <c r="L6" s="31" t="n"/>
    </row>
    <row r="10">
      <c r="A10" s="8" t="inlineStr">
        <is>
          <t>Month</t>
        </is>
      </c>
      <c r="B10" s="8" t="inlineStr">
        <is>
          <t>TEFAP Lbs</t>
        </is>
      </c>
      <c r="C10" s="8" t="inlineStr">
        <is>
          <t>Regular Receipts Lbs</t>
        </is>
      </c>
      <c r="D10" s="8" t="inlineStr">
        <is>
          <t>Food Drives Lbs</t>
        </is>
      </c>
      <c r="E10" s="8" t="inlineStr">
        <is>
          <t>Truck Log Lbs</t>
        </is>
      </c>
      <c r="F10" s="8" t="inlineStr">
        <is>
          <t>Receiving Sheet Lbs</t>
        </is>
      </c>
      <c r="G10" s="8" t="inlineStr">
        <is>
          <t>RTV Lbs</t>
        </is>
      </c>
      <c r="H10" s="8" t="inlineStr">
        <is>
          <t>Garbage Out Lbs</t>
        </is>
      </c>
      <c r="I10" s="8" t="inlineStr">
        <is>
          <t>Total Inbound Lbs</t>
        </is>
      </c>
      <c r="J10" s="8" t="inlineStr">
        <is>
          <t>Net Usable Lbs</t>
        </is>
      </c>
      <c r="L10" s="28" t="inlineStr">
        <is>
          <t>Month</t>
        </is>
      </c>
      <c r="M10" s="28" t="inlineStr">
        <is>
          <t>Inbound</t>
        </is>
      </c>
      <c r="N10" s="28" t="inlineStr">
        <is>
          <t>Net Usable</t>
        </is>
      </c>
      <c r="O10" s="28" t="inlineStr">
        <is>
          <t>Yield %</t>
        </is>
      </c>
      <c r="Q10" s="28" t="inlineStr">
        <is>
          <t>Month</t>
        </is>
      </c>
      <c r="R10" s="28" t="inlineStr">
        <is>
          <t>RTV</t>
        </is>
      </c>
      <c r="S10" s="28" t="inlineStr">
        <is>
          <t>Garbage</t>
        </is>
      </c>
    </row>
    <row r="11">
      <c r="A11" s="12" t="inlineStr">
        <is>
          <t>Oct-2025</t>
        </is>
      </c>
      <c r="B11" s="9" t="n">
        <v>1764</v>
      </c>
      <c r="C11" s="9" t="n">
        <v>89891</v>
      </c>
      <c r="D11" s="9" t="n">
        <v>0</v>
      </c>
      <c r="E11" s="9" t="n">
        <v>23795</v>
      </c>
      <c r="F11" s="9" t="n">
        <v>497495</v>
      </c>
      <c r="G11" s="9" t="n">
        <v>4728</v>
      </c>
      <c r="H11" s="9" t="n">
        <v>66380</v>
      </c>
      <c r="I11" s="9" t="n">
        <v>91655</v>
      </c>
      <c r="J11" s="9" t="n">
        <v>20547</v>
      </c>
      <c r="L11">
        <f>A11</f>
        <v/>
      </c>
      <c r="M11">
        <f>I11</f>
        <v/>
      </c>
      <c r="N11">
        <f>J11</f>
        <v/>
      </c>
      <c r="O11" s="10">
        <f>IFERROR(N11/M11,0)</f>
        <v/>
      </c>
      <c r="Q11">
        <f>A11</f>
        <v/>
      </c>
      <c r="R11">
        <f>G11</f>
        <v/>
      </c>
      <c r="S11">
        <f>H11</f>
        <v/>
      </c>
    </row>
    <row r="12">
      <c r="A12" s="12" t="inlineStr">
        <is>
          <t>Nov-2025</t>
        </is>
      </c>
      <c r="B12" s="9" t="n">
        <v>5890</v>
      </c>
      <c r="C12" s="9" t="n">
        <v>70232</v>
      </c>
      <c r="D12" s="9" t="n">
        <v>82211</v>
      </c>
      <c r="E12" s="9" t="n">
        <v>31749</v>
      </c>
      <c r="F12" s="9" t="n">
        <v>497066</v>
      </c>
      <c r="G12" s="9" t="n">
        <v>0</v>
      </c>
      <c r="H12" s="9" t="n">
        <v>43960</v>
      </c>
      <c r="I12" s="9" t="n">
        <v>158333</v>
      </c>
      <c r="J12" s="9" t="n">
        <v>114373</v>
      </c>
      <c r="L12">
        <f>A12</f>
        <v/>
      </c>
      <c r="M12">
        <f>I12</f>
        <v/>
      </c>
      <c r="N12">
        <f>J12</f>
        <v/>
      </c>
      <c r="O12" s="10">
        <f>IFERROR(N12/M12,0)</f>
        <v/>
      </c>
      <c r="Q12">
        <f>A12</f>
        <v/>
      </c>
      <c r="R12">
        <f>G12</f>
        <v/>
      </c>
      <c r="S12">
        <f>H12</f>
        <v/>
      </c>
    </row>
    <row r="13">
      <c r="A13" s="12" t="inlineStr">
        <is>
          <t>Dec-2025</t>
        </is>
      </c>
      <c r="B13" s="9" t="n">
        <v>10034</v>
      </c>
      <c r="C13" s="9" t="n">
        <v>60625</v>
      </c>
      <c r="D13" s="9" t="n">
        <v>60207</v>
      </c>
      <c r="E13" s="9" t="n">
        <v>24957</v>
      </c>
      <c r="F13" s="9" t="n">
        <v>435128</v>
      </c>
      <c r="G13" s="9" t="n">
        <v>0</v>
      </c>
      <c r="H13" s="9" t="n">
        <v>34980</v>
      </c>
      <c r="I13" s="9" t="n">
        <v>130866</v>
      </c>
      <c r="J13" s="9" t="n">
        <v>95886</v>
      </c>
      <c r="L13">
        <f>A13</f>
        <v/>
      </c>
      <c r="M13">
        <f>I13</f>
        <v/>
      </c>
      <c r="N13">
        <f>J13</f>
        <v/>
      </c>
      <c r="O13" s="10">
        <f>IFERROR(N13/M13,0)</f>
        <v/>
      </c>
      <c r="Q13">
        <f>A13</f>
        <v/>
      </c>
      <c r="R13">
        <f>G13</f>
        <v/>
      </c>
      <c r="S13">
        <f>H13</f>
        <v/>
      </c>
    </row>
    <row r="14">
      <c r="A14" s="12" t="inlineStr">
        <is>
          <t>Jan-2026</t>
        </is>
      </c>
      <c r="B14" s="9" t="n">
        <v>13180</v>
      </c>
      <c r="C14" s="9" t="n">
        <v>438120</v>
      </c>
      <c r="D14" s="9" t="n">
        <v>15600</v>
      </c>
      <c r="E14" s="9" t="n">
        <v>87625</v>
      </c>
      <c r="F14" s="9" t="n">
        <v>438120</v>
      </c>
      <c r="G14" s="9" t="n">
        <v>8178</v>
      </c>
      <c r="H14" s="9" t="n">
        <v>38600</v>
      </c>
      <c r="I14" s="9" t="n">
        <v>466900</v>
      </c>
      <c r="J14" s="9" t="n">
        <v>420122</v>
      </c>
      <c r="L14">
        <f>A14</f>
        <v/>
      </c>
      <c r="M14">
        <f>I14</f>
        <v/>
      </c>
      <c r="N14">
        <f>J14</f>
        <v/>
      </c>
      <c r="O14" s="10">
        <f>IFERROR(N14/M14,0)</f>
        <v/>
      </c>
      <c r="Q14">
        <f>A14</f>
        <v/>
      </c>
      <c r="R14">
        <f>G14</f>
        <v/>
      </c>
      <c r="S14">
        <f>H14</f>
        <v/>
      </c>
    </row>
    <row r="20">
      <c r="W20" s="33" t="inlineStr">
        <is>
          <t>How to read this dashboard</t>
        </is>
      </c>
    </row>
    <row r="21" ht="29" customHeight="1" s="38">
      <c r="W21" s="42" t="inlineStr">
        <is>
          <t>• Inbound vs Net Usable shows how much material actually becomes usable inventory.</t>
        </is>
      </c>
    </row>
    <row r="22">
      <c r="W22" s="42" t="inlineStr">
        <is>
          <t>• Yield % indicates the efficiency of processing and handling.</t>
        </is>
      </c>
    </row>
    <row r="23">
      <c r="W23" s="42" t="inlineStr">
        <is>
          <t>• RTV + Garbage highlights where losses reduce usable output.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4"/>
  <sheetViews>
    <sheetView showGridLines="0" tabSelected="1" workbookViewId="0">
      <pane ySplit="3" topLeftCell="A14" activePane="bottomLeft" state="frozen"/>
      <selection pane="bottomLeft" activeCell="F49" sqref="F49"/>
    </sheetView>
  </sheetViews>
  <sheetFormatPr baseColWidth="8" defaultRowHeight="14.5"/>
  <cols>
    <col width="18" customWidth="1" style="38" min="1" max="2"/>
    <col width="20" customWidth="1" style="38" min="3" max="3"/>
    <col width="12" customWidth="1" style="38" min="4" max="4"/>
    <col width="32" customWidth="1" style="38" min="5" max="5"/>
    <col width="4" customWidth="1" style="38" min="6" max="6"/>
    <col width="16" customWidth="1" style="38" min="7" max="8"/>
    <col width="4" customWidth="1" style="38" min="9" max="9"/>
    <col width="16" customWidth="1" style="38" min="10" max="13"/>
    <col width="65" customWidth="1" style="38" min="16" max="16"/>
    <col width="68" customWidth="1" style="38" min="17" max="17"/>
    <col width="68" customWidth="1" style="38" min="26" max="26"/>
  </cols>
  <sheetData>
    <row r="1" ht="18.5" customHeight="1" s="38">
      <c r="A1" s="39" t="inlineStr">
        <is>
          <t>Slotting &amp; Goods-Flow Dashboard</t>
        </is>
      </c>
    </row>
    <row r="3" ht="87" customHeight="1" s="38">
      <c r="A3" s="42" t="inlineStr">
        <is>
          <t>Dashboard shows current vs hybrid plan. Distribution inside each bucket now follows score rank, not row order.</t>
        </is>
      </c>
    </row>
    <row r="5" ht="29" customHeight="1" s="38">
      <c r="A5" s="31" t="inlineStr">
        <is>
          <t>Items evaluated</t>
        </is>
      </c>
      <c r="B5" s="31" t="n"/>
      <c r="C5" s="31" t="n"/>
      <c r="D5" s="31" t="inlineStr">
        <is>
          <t>Moves / re-slots</t>
        </is>
      </c>
      <c r="E5" s="31" t="n"/>
      <c r="F5" s="31" t="n"/>
      <c r="G5" s="31" t="inlineStr">
        <is>
          <t>Premium items</t>
        </is>
      </c>
      <c r="H5" s="31" t="n"/>
      <c r="I5" s="31" t="n"/>
      <c r="J5" s="31" t="inlineStr">
        <is>
          <t>Reserve items</t>
        </is>
      </c>
      <c r="K5" s="31" t="n"/>
      <c r="L5" s="31" t="n"/>
    </row>
    <row r="6" ht="17" customHeight="1" s="38">
      <c r="A6" s="32">
        <f>COUNTA(Slotting_Model!A4:A18)</f>
        <v/>
      </c>
      <c r="B6" s="31" t="n"/>
      <c r="C6" s="31" t="n"/>
      <c r="D6" s="32">
        <f>COUNTIF(Slotting_Model!AJ4:AJ18,"&lt;&gt;Keep in place")</f>
        <v/>
      </c>
      <c r="E6" s="31" t="n"/>
      <c r="F6" s="31" t="n"/>
      <c r="G6" s="32">
        <f>COUNTIF(Slotting_Model!AH4:AH18,"Premium")</f>
        <v/>
      </c>
      <c r="H6" s="31" t="n"/>
      <c r="I6" s="31" t="n"/>
      <c r="J6" s="32">
        <f>COUNTIF(Slotting_Model!AH4:AH18,"Reserve")</f>
        <v/>
      </c>
      <c r="K6" s="31" t="n"/>
      <c r="L6" s="31" t="n"/>
    </row>
    <row r="10">
      <c r="A10" s="29" t="inlineStr">
        <is>
          <t>Item</t>
        </is>
      </c>
      <c r="B10" s="29" t="inlineStr">
        <is>
          <t>Current</t>
        </is>
      </c>
      <c r="C10" s="29" t="inlineStr">
        <is>
          <t>Hybrid_Location</t>
        </is>
      </c>
      <c r="D10" s="29" t="inlineStr">
        <is>
          <t>Score</t>
        </is>
      </c>
      <c r="E10" s="29" t="inlineStr">
        <is>
          <t>Hybrid_Reason</t>
        </is>
      </c>
      <c r="Q10" s="33" t="inlineStr">
        <is>
          <t>How to read this dashboard</t>
        </is>
      </c>
      <c r="Z10" s="33" t="inlineStr">
        <is>
          <t>How to read this dashboard</t>
        </is>
      </c>
    </row>
    <row r="11">
      <c r="A11">
        <f>Slotting_Model!A4</f>
        <v/>
      </c>
      <c r="B11">
        <f>Slotting_Model!J4</f>
        <v/>
      </c>
      <c r="C11">
        <f>Slotting_Model!AO4</f>
        <v/>
      </c>
      <c r="D11" s="13">
        <f>Slotting_Model!X4</f>
        <v/>
      </c>
      <c r="E11">
        <f>Slotting_Model!AP4</f>
        <v/>
      </c>
      <c r="Q11" s="42" t="inlineStr">
        <is>
          <t>• Current = assumed existing location.</t>
        </is>
      </c>
      <c r="Z11" s="42" t="inlineStr">
        <is>
          <t>• Current shows the assumed existing location.</t>
        </is>
      </c>
    </row>
    <row r="12" ht="29" customHeight="1" s="38">
      <c r="A12">
        <f>Slotting_Model!A5</f>
        <v/>
      </c>
      <c r="B12">
        <f>Slotting_Model!J5</f>
        <v/>
      </c>
      <c r="C12">
        <f>Slotting_Model!AO5</f>
        <v/>
      </c>
      <c r="D12" s="13">
        <f>Slotting_Model!X5</f>
        <v/>
      </c>
      <c r="E12">
        <f>Slotting_Model!AP5</f>
        <v/>
      </c>
      <c r="Q12" s="42" t="inlineStr">
        <is>
          <t>• Hybrid_Location = final practical location using your chosen ranking sequence.</t>
        </is>
      </c>
      <c r="Z12" s="42" t="inlineStr">
        <is>
          <t>• Depth-Optimized Plan shows the implementable location after capacity and 1/2/3 position balancing.</t>
        </is>
      </c>
    </row>
    <row r="13">
      <c r="A13">
        <f>Slotting_Model!A6</f>
        <v/>
      </c>
      <c r="B13">
        <f>Slotting_Model!J6</f>
        <v/>
      </c>
      <c r="C13">
        <f>Slotting_Model!AO6</f>
        <v/>
      </c>
      <c r="D13" s="13">
        <f>Slotting_Model!X6</f>
        <v/>
      </c>
      <c r="E13">
        <f>Slotting_Model!AP6</f>
        <v/>
      </c>
      <c r="Q13" s="42" t="inlineStr">
        <is>
          <t>• The sequence used is A1, B1, C1, A2, B2, A3, B3, C2, C3.</t>
        </is>
      </c>
      <c r="Z13" s="42" t="inlineStr">
        <is>
          <t>• Premium items are no longer all assigned to the same A-front position.</t>
        </is>
      </c>
    </row>
    <row r="14" ht="29" customHeight="1" s="38">
      <c r="A14">
        <f>Slotting_Model!A7</f>
        <v/>
      </c>
      <c r="B14">
        <f>Slotting_Model!J7</f>
        <v/>
      </c>
      <c r="C14">
        <f>Slotting_Model!AO7</f>
        <v/>
      </c>
      <c r="D14" s="13">
        <f>Slotting_Model!X7</f>
        <v/>
      </c>
      <c r="E14">
        <f>Slotting_Model!AP7</f>
        <v/>
      </c>
      <c r="Q14" s="42" t="inlineStr">
        <is>
          <t>• This logic is now used consistently in Slotting_Model, Storage_Reallocation_Plan, and Slotting_Dashboard.</t>
        </is>
      </c>
      <c r="Z14" s="42" t="inlineStr">
        <is>
          <t>• The 1 / 2 / 3 chart confirms the model is distributing storage positions more realistically.</t>
        </is>
      </c>
    </row>
    <row r="15">
      <c r="A15">
        <f>Slotting_Model!A8</f>
        <v/>
      </c>
      <c r="B15">
        <f>Slotting_Model!J8</f>
        <v/>
      </c>
      <c r="C15">
        <f>Slotting_Model!AO8</f>
        <v/>
      </c>
      <c r="D15" s="13">
        <f>Slotting_Model!X8</f>
        <v/>
      </c>
      <c r="E15">
        <f>Slotting_Model!AP8</f>
        <v/>
      </c>
    </row>
    <row r="16">
      <c r="A16">
        <f>Slotting_Model!A9</f>
        <v/>
      </c>
      <c r="B16">
        <f>Slotting_Model!J9</f>
        <v/>
      </c>
      <c r="C16">
        <f>Slotting_Model!AO9</f>
        <v/>
      </c>
      <c r="D16" s="13">
        <f>Slotting_Model!X9</f>
        <v/>
      </c>
      <c r="E16">
        <f>Slotting_Model!AP9</f>
        <v/>
      </c>
    </row>
    <row r="17">
      <c r="A17">
        <f>Slotting_Model!A10</f>
        <v/>
      </c>
      <c r="B17">
        <f>Slotting_Model!J10</f>
        <v/>
      </c>
      <c r="C17">
        <f>Slotting_Model!AO10</f>
        <v/>
      </c>
      <c r="D17" s="13">
        <f>Slotting_Model!X10</f>
        <v/>
      </c>
      <c r="E17">
        <f>Slotting_Model!AP10</f>
        <v/>
      </c>
    </row>
    <row r="18">
      <c r="A18">
        <f>Slotting_Model!A11</f>
        <v/>
      </c>
      <c r="B18">
        <f>Slotting_Model!J11</f>
        <v/>
      </c>
      <c r="C18">
        <f>Slotting_Model!AO11</f>
        <v/>
      </c>
      <c r="D18" s="13">
        <f>Slotting_Model!X11</f>
        <v/>
      </c>
      <c r="E18">
        <f>Slotting_Model!AP11</f>
        <v/>
      </c>
      <c r="J18" s="46" t="inlineStr">
        <is>
          <t>Hybrid Logic Check</t>
        </is>
      </c>
    </row>
    <row r="19">
      <c r="A19">
        <f>Slotting_Model!A12</f>
        <v/>
      </c>
      <c r="B19">
        <f>Slotting_Model!J12</f>
        <v/>
      </c>
      <c r="C19">
        <f>Slotting_Model!AO12</f>
        <v/>
      </c>
      <c r="D19" s="13">
        <f>Slotting_Model!X12</f>
        <v/>
      </c>
      <c r="E19">
        <f>Slotting_Model!AP12</f>
        <v/>
      </c>
      <c r="J19" s="42" t="inlineStr">
        <is>
          <t>Items are now ordered within each bucket by score rank.</t>
        </is>
      </c>
    </row>
    <row r="20">
      <c r="A20">
        <f>Slotting_Model!A13</f>
        <v/>
      </c>
      <c r="B20">
        <f>Slotting_Model!J13</f>
        <v/>
      </c>
      <c r="C20">
        <f>Slotting_Model!AO13</f>
        <v/>
      </c>
      <c r="D20" s="13">
        <f>Slotting_Model!X13</f>
        <v/>
      </c>
      <c r="E20">
        <f>Slotting_Model!AP13</f>
        <v/>
      </c>
      <c r="J20" s="42" t="inlineStr">
        <is>
          <t>Higher-scoring Premium items take earlier hybrid positions.</t>
        </is>
      </c>
    </row>
    <row r="21">
      <c r="A21">
        <f>Slotting_Model!A14</f>
        <v/>
      </c>
      <c r="B21">
        <f>Slotting_Model!J14</f>
        <v/>
      </c>
      <c r="C21">
        <f>Slotting_Model!AO14</f>
        <v/>
      </c>
      <c r="D21" s="13">
        <f>Slotting_Model!X14</f>
        <v/>
      </c>
      <c r="E21">
        <f>Slotting_Model!AP14</f>
        <v/>
      </c>
      <c r="J21" s="42" t="inlineStr">
        <is>
          <t>This removes dependence on row order.</t>
        </is>
      </c>
    </row>
    <row r="22">
      <c r="A22">
        <f>Slotting_Model!A15</f>
        <v/>
      </c>
      <c r="B22">
        <f>Slotting_Model!J15</f>
        <v/>
      </c>
      <c r="C22">
        <f>Slotting_Model!AO15</f>
        <v/>
      </c>
      <c r="D22" s="13">
        <f>Slotting_Model!X15</f>
        <v/>
      </c>
      <c r="E22">
        <f>Slotting_Model!AP15</f>
        <v/>
      </c>
    </row>
    <row r="23">
      <c r="A23">
        <f>Slotting_Model!A16</f>
        <v/>
      </c>
      <c r="B23">
        <f>Slotting_Model!J16</f>
        <v/>
      </c>
      <c r="C23">
        <f>Slotting_Model!AO16</f>
        <v/>
      </c>
      <c r="D23">
        <f>Slotting_Model!X16</f>
        <v/>
      </c>
      <c r="E23">
        <f>Slotting_Model!AP16</f>
        <v/>
      </c>
    </row>
    <row r="24">
      <c r="A24">
        <f>Slotting_Model!A17</f>
        <v/>
      </c>
      <c r="B24">
        <f>Slotting_Model!J17</f>
        <v/>
      </c>
      <c r="C24">
        <f>Slotting_Model!AO17</f>
        <v/>
      </c>
      <c r="D24">
        <f>Slotting_Model!X17</f>
        <v/>
      </c>
      <c r="E24">
        <f>Slotting_Model!AP17</f>
        <v/>
      </c>
    </row>
    <row r="25">
      <c r="A25">
        <f>Slotting_Model!A18</f>
        <v/>
      </c>
      <c r="B25">
        <f>Slotting_Model!J18</f>
        <v/>
      </c>
      <c r="C25">
        <f>Slotting_Model!AO18</f>
        <v/>
      </c>
      <c r="D25">
        <f>Slotting_Model!X18</f>
        <v/>
      </c>
      <c r="E25">
        <f>Slotting_Model!AP18</f>
        <v/>
      </c>
    </row>
    <row r="26">
      <c r="A26" s="43" t="inlineStr">
        <is>
          <t>Capacity Bucket</t>
        </is>
      </c>
      <c r="B26" s="43" t="inlineStr">
        <is>
          <t>Count</t>
        </is>
      </c>
      <c r="G26" s="28" t="inlineStr">
        <is>
          <t>Capacity Bucket</t>
        </is>
      </c>
      <c r="H26" s="28" t="inlineStr">
        <is>
          <t>Count</t>
        </is>
      </c>
      <c r="J26" s="28" t="inlineStr">
        <is>
          <t>Preferred Area</t>
        </is>
      </c>
      <c r="K26" s="28" t="inlineStr">
        <is>
          <t>Count</t>
        </is>
      </c>
      <c r="M26" s="44" t="inlineStr">
        <is>
          <t>Pattern</t>
        </is>
      </c>
      <c r="N26" s="44" t="inlineStr">
        <is>
          <t>Count</t>
        </is>
      </c>
      <c r="Q26" s="44" t="inlineStr">
        <is>
          <t>Area</t>
        </is>
      </c>
      <c r="R26" s="44" t="inlineStr">
        <is>
          <t>Count</t>
        </is>
      </c>
    </row>
    <row r="27">
      <c r="A27" s="35" t="inlineStr">
        <is>
          <t>Premium</t>
        </is>
      </c>
      <c r="B27">
        <f>COUNTIF(Slotting_Model!AH4:AH18,"Premium")</f>
        <v/>
      </c>
      <c r="G27" t="inlineStr">
        <is>
          <t>Premium</t>
        </is>
      </c>
      <c r="H27">
        <f>COUNTIF(Slotting_Model!AH4:AH18,"Premium")</f>
        <v/>
      </c>
      <c r="J27" t="inlineStr">
        <is>
          <t>GIK</t>
        </is>
      </c>
      <c r="K27">
        <f>COUNTIF(Slotting_Model!AG4:AG18,"GIK")</f>
        <v/>
      </c>
      <c r="M27" t="inlineStr">
        <is>
          <t>A1</t>
        </is>
      </c>
      <c r="N27">
        <f>COUNTIF(Slotting_Model!AO4:AO18,"*-A1-*")</f>
        <v/>
      </c>
      <c r="Q27" t="inlineStr">
        <is>
          <t>GIK</t>
        </is>
      </c>
      <c r="R27">
        <f>COUNTIF(Slotting_Model!AG4:AG18,"GIK")</f>
        <v/>
      </c>
    </row>
    <row r="28">
      <c r="A28" s="35" t="inlineStr">
        <is>
          <t>Standard</t>
        </is>
      </c>
      <c r="B28">
        <f>COUNTIF(Slotting_Model!AH4:AH18,"Standard")</f>
        <v/>
      </c>
      <c r="G28" t="inlineStr">
        <is>
          <t>Standard</t>
        </is>
      </c>
      <c r="H28">
        <f>COUNTIF(Slotting_Model!AH4:AH18,"Standard")</f>
        <v/>
      </c>
      <c r="J28" t="inlineStr">
        <is>
          <t>FOOD</t>
        </is>
      </c>
      <c r="K28">
        <f>COUNTIF(Slotting_Model!AG4:AG18,"FOOD")</f>
        <v/>
      </c>
      <c r="M28" t="inlineStr">
        <is>
          <t>B1</t>
        </is>
      </c>
      <c r="N28">
        <f>COUNTIF(Slotting_Model!AO4:AO18,"*-B1-*")</f>
        <v/>
      </c>
      <c r="P28" s="33" t="inlineStr">
        <is>
          <t>How to read this dashboard</t>
        </is>
      </c>
      <c r="Q28" t="inlineStr">
        <is>
          <t>FOOD</t>
        </is>
      </c>
      <c r="R28">
        <f>COUNTIF(Slotting_Model!AG4:AG18,"FOOD")</f>
        <v/>
      </c>
    </row>
    <row r="29">
      <c r="A29" s="35" t="inlineStr">
        <is>
          <t>Reserve</t>
        </is>
      </c>
      <c r="B29">
        <f>COUNTIF(Slotting_Model!AH4:AH18,"Reserve")</f>
        <v/>
      </c>
      <c r="G29" t="inlineStr">
        <is>
          <t>Reserve</t>
        </is>
      </c>
      <c r="H29">
        <f>COUNTIF(Slotting_Model!AH4:AH18,"Reserve")</f>
        <v/>
      </c>
      <c r="J29" t="inlineStr">
        <is>
          <t>GARAGE/KITCHEN</t>
        </is>
      </c>
      <c r="K29">
        <f>COUNTIF(Slotting_Model!AG4:AG18,"GARAGE/KITCHEN")</f>
        <v/>
      </c>
      <c r="M29" t="inlineStr">
        <is>
          <t>C1</t>
        </is>
      </c>
      <c r="N29">
        <f>COUNTIF(Slotting_Model!AO4:AO18,"*-C1-*")</f>
        <v/>
      </c>
      <c r="P29" s="42" t="inlineStr">
        <is>
          <t>• Current shows where the item is assumed to be today.</t>
        </is>
      </c>
      <c r="Q29" t="inlineStr">
        <is>
          <t>GARAGE/KITCHEN</t>
        </is>
      </c>
      <c r="R29">
        <f>COUNTIF(Slotting_Model!AG4:AG18,"GARAGE/KITCHEN")</f>
        <v/>
      </c>
    </row>
    <row r="30" ht="29" customHeight="1" s="38">
      <c r="J30" t="inlineStr">
        <is>
          <t>ADDITIONS</t>
        </is>
      </c>
      <c r="K30">
        <f>COUNTIF(Slotting_Model!AG4:AG18,"ADDITIONS")</f>
        <v/>
      </c>
      <c r="M30" t="inlineStr">
        <is>
          <t>A2</t>
        </is>
      </c>
      <c r="N30">
        <f>COUNTIF(Slotting_Model!AO4:AO18,"*-A2-*")</f>
        <v/>
      </c>
      <c r="P30" s="42" t="inlineStr">
        <is>
          <t>• Practical Plan shows the implementable location after applying capacity constraints.</t>
        </is>
      </c>
      <c r="Q30" t="inlineStr">
        <is>
          <t>ADDITIONS</t>
        </is>
      </c>
      <c r="R30">
        <f>COUNTIF(Slotting_Model!AG4:AG18,"ADDITIONS")</f>
        <v/>
      </c>
    </row>
    <row r="31" ht="29" customHeight="1" s="38">
      <c r="A31" t="inlineStr">
        <is>
          <t>Chart Check</t>
        </is>
      </c>
      <c r="M31" t="inlineStr">
        <is>
          <t>Other</t>
        </is>
      </c>
      <c r="N31">
        <f>COUNTA(Slotting_Model!AO4:AO18)-SUM(N27:N30)</f>
        <v/>
      </c>
      <c r="P31" s="42" t="inlineStr">
        <is>
          <t>• Capacity Bucket shows which items get premium vs standard vs reserve storage.</t>
        </is>
      </c>
    </row>
    <row r="32" ht="29" customHeight="1" s="38">
      <c r="A32" t="inlineStr">
        <is>
          <t>• Bar chart now uses the final Storage Priority Score column.</t>
        </is>
      </c>
      <c r="P32" s="42" t="inlineStr">
        <is>
          <t>• Preferred Area links each item to the most suitable warehouse area from the 4 uploaded layouts.</t>
        </is>
      </c>
    </row>
    <row r="33">
      <c r="A33" t="inlineStr">
        <is>
          <t>• Pie chart now counts recommended A/B/C levels from the final model.</t>
        </is>
      </c>
    </row>
    <row r="34" ht="29" customHeight="1" s="38">
      <c r="A34" t="inlineStr">
        <is>
          <t>• Dashboard table uses Current Location, Recommended Location, Score, and Reason from the updated Slotting_Model.</t>
        </is>
      </c>
      <c r="P34" s="42" t="inlineStr">
        <is>
          <t>• Capacity distribution chart now uses Premium / Standard / Reserve from the capacity-constrained plan.</t>
        </is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B24" sqref="B24"/>
    </sheetView>
  </sheetViews>
  <sheetFormatPr baseColWidth="8" defaultRowHeight="14.5"/>
  <cols>
    <col width="30" customWidth="1" style="38" min="1" max="1"/>
    <col width="18" customWidth="1" style="38" min="2" max="2"/>
    <col width="48" customWidth="1" style="38" min="3" max="3"/>
    <col width="22" customWidth="1" style="38" min="4" max="4"/>
  </cols>
  <sheetData>
    <row r="1" ht="18.5" customHeight="1" s="38">
      <c r="A1" s="37" t="inlineStr">
        <is>
          <t>Project KPIs</t>
        </is>
      </c>
    </row>
    <row r="3">
      <c r="A3" s="8" t="inlineStr">
        <is>
          <t>Metric</t>
        </is>
      </c>
      <c r="B3" s="8" t="inlineStr">
        <is>
          <t>Value</t>
        </is>
      </c>
      <c r="C3" s="8" t="inlineStr">
        <is>
          <t>Interpretation</t>
        </is>
      </c>
      <c r="D3" s="8" t="inlineStr">
        <is>
          <t>Source</t>
        </is>
      </c>
    </row>
    <row r="4">
      <c r="A4" t="inlineStr">
        <is>
          <t>Total Spend ($)</t>
        </is>
      </c>
      <c r="B4" s="11">
        <f>SUM(Clean_Transactions!H:H)</f>
        <v/>
      </c>
      <c r="C4" t="inlineStr">
        <is>
          <t>Spend observed in cleaned transaction ledger</t>
        </is>
      </c>
      <c r="D4" t="inlineStr">
        <is>
          <t>Clean_Transactions</t>
        </is>
      </c>
    </row>
    <row r="5">
      <c r="A5" t="inlineStr">
        <is>
          <t>Food Spend ($)</t>
        </is>
      </c>
      <c r="B5" s="11">
        <f>SUMIF(Clean_Transactions!D:D,"Food",Clean_Transactions!H:H)</f>
        <v/>
      </c>
      <c r="C5" t="inlineStr">
        <is>
          <t>Food procurement exposure</t>
        </is>
      </c>
      <c r="D5" t="inlineStr">
        <is>
          <t>Clean_Transactions</t>
        </is>
      </c>
    </row>
    <row r="6">
      <c r="A6" t="inlineStr">
        <is>
          <t>Meat Spend ($)</t>
        </is>
      </c>
      <c r="B6" s="11">
        <f>SUMIF(Clean_Transactions!D:D,"Meat",Clean_Transactions!H:H)</f>
        <v/>
      </c>
      <c r="C6" t="inlineStr">
        <is>
          <t>Protein / meat procurement exposure</t>
        </is>
      </c>
      <c r="D6" t="inlineStr">
        <is>
          <t>Clean_Transactions</t>
        </is>
      </c>
    </row>
    <row r="7">
      <c r="A7" t="inlineStr">
        <is>
          <t>Water Spend ($)</t>
        </is>
      </c>
      <c r="B7" s="11">
        <f>SUM(Water_Unique!G4:G18)</f>
        <v/>
      </c>
      <c r="C7" t="inlineStr">
        <is>
          <t>Validated repetitive water spend</t>
        </is>
      </c>
      <c r="D7" t="inlineStr">
        <is>
          <t>Water_Unique</t>
        </is>
      </c>
    </row>
    <row r="8">
      <c r="A8" t="inlineStr">
        <is>
          <t>Unique Water Orders</t>
        </is>
      </c>
      <c r="B8" s="9">
        <f>COUNTA(Water_Unique!B4:B18)</f>
        <v/>
      </c>
      <c r="C8" t="inlineStr">
        <is>
          <t>Deduplicated Niagara order count</t>
        </is>
      </c>
      <c r="D8" t="inlineStr">
        <is>
          <t>Water_Unique</t>
        </is>
      </c>
    </row>
    <row r="9">
      <c r="A9" t="inlineStr">
        <is>
          <t>Unique Suppliers</t>
        </is>
      </c>
      <c r="B9" s="9">
        <f>SUMPRODUCT((Clean_Transactions!C4:C200&lt;&gt;"")/COUNTIF(Clean_Transactions!C4:C200,Clean_Transactions!C4:C200&amp;""))</f>
        <v/>
      </c>
      <c r="C9" t="inlineStr">
        <is>
          <t>Supplier breadth in cleaned data</t>
        </is>
      </c>
      <c r="D9" t="inlineStr">
        <is>
          <t>Clean_Transactions</t>
        </is>
      </c>
    </row>
    <row r="10">
      <c r="A10" t="inlineStr">
        <is>
          <t>Capacity Increase (Pallets)</t>
        </is>
      </c>
      <c r="B10" s="9">
        <f>Warehouse_Capacity!D8</f>
        <v/>
      </c>
      <c r="C10" t="inlineStr">
        <is>
          <t>Net pallet increase from redesign areas</t>
        </is>
      </c>
      <c r="D10" t="inlineStr">
        <is>
          <t>Warehouse_Capacity</t>
        </is>
      </c>
    </row>
    <row r="11">
      <c r="A11" t="inlineStr">
        <is>
          <t>Capacity Increase (%)</t>
        </is>
      </c>
      <c r="B11" s="10">
        <f>Warehouse_Capacity!E8</f>
        <v/>
      </c>
      <c r="C11" t="inlineStr">
        <is>
          <t>Net pallet increase as % of prior capacity</t>
        </is>
      </c>
      <c r="D11" t="inlineStr">
        <is>
          <t>Warehouse_Capacity</t>
        </is>
      </c>
    </row>
    <row r="12">
      <c r="A12" t="inlineStr">
        <is>
          <t>Net Usable Inbound (lbs)</t>
        </is>
      </c>
      <c r="B12" s="9">
        <f>Monthly_Flow!J8</f>
        <v/>
      </c>
      <c r="C12" t="inlineStr">
        <is>
          <t>Usable pounds from uploaded monthly results</t>
        </is>
      </c>
      <c r="D12" t="inlineStr">
        <is>
          <t>Monthly_Flow</t>
        </is>
      </c>
    </row>
    <row r="13">
      <c r="A13" t="inlineStr">
        <is>
          <t>Estimated Water Savings @8%</t>
        </is>
      </c>
      <c r="B13" s="11">
        <f>B7*8%</f>
        <v/>
      </c>
      <c r="C13" t="inlineStr">
        <is>
          <t>Illustrative savings if contract pricing improves</t>
        </is>
      </c>
      <c r="D13" t="inlineStr">
        <is>
          <t>Water_Unique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C16" sqref="C16"/>
    </sheetView>
  </sheetViews>
  <sheetFormatPr baseColWidth="8" defaultRowHeight="14.5"/>
  <cols>
    <col width="30" customWidth="1" style="38" min="1" max="1"/>
    <col width="14" customWidth="1" style="38" min="2" max="2"/>
    <col width="95" customWidth="1" style="38" min="3" max="3"/>
  </cols>
  <sheetData>
    <row r="1" ht="18.5" customHeight="1" s="38">
      <c r="A1" s="37" t="inlineStr">
        <is>
          <t>Model Controls</t>
        </is>
      </c>
    </row>
    <row r="3">
      <c r="A3" s="8" t="inlineStr">
        <is>
          <t>Input</t>
        </is>
      </c>
      <c r="B3" s="8" t="inlineStr">
        <is>
          <t>Value</t>
        </is>
      </c>
      <c r="C3" s="8" t="inlineStr">
        <is>
          <t>Explanation / Criteria</t>
        </is>
      </c>
    </row>
    <row r="4" ht="29" customHeight="1" s="38">
      <c r="A4" t="inlineStr">
        <is>
          <t>Usage Weight</t>
        </is>
      </c>
      <c r="B4" s="14" t="n">
        <v>2</v>
      </c>
      <c r="C4" s="22" t="inlineStr">
        <is>
          <t>Usage Weight = 2 because demand/usage velocity is one of the strongest drivers of slotting. Fast-moving items should be easier to access to reduce travel and picking time.</t>
        </is>
      </c>
    </row>
    <row r="5" ht="29" customHeight="1" s="38">
      <c r="A5" t="inlineStr">
        <is>
          <t>Flow Weight</t>
        </is>
      </c>
      <c r="B5" s="14" t="n">
        <v>2</v>
      </c>
      <c r="C5" s="22" t="inlineStr">
        <is>
          <t>Flow Weight = 2 because internal goods flow is equally critical. Items that move through inbound, staging, storage, and outbound more often should be placed to reduce congestion.</t>
        </is>
      </c>
    </row>
    <row r="6" ht="29" customHeight="1" s="38">
      <c r="A6" t="inlineStr">
        <is>
          <t>Qty Received Weight</t>
        </is>
      </c>
      <c r="B6" s="14" t="n">
        <v>1.2</v>
      </c>
      <c r="C6" s="22" t="inlineStr">
        <is>
          <t>Qty Received Weight = 1.2 because large inbound batches can create staging pressure and should influence where items are slotted.</t>
        </is>
      </c>
    </row>
    <row r="7" ht="29" customHeight="1" s="38">
      <c r="A7" t="inlineStr">
        <is>
          <t>Qty Held Weight</t>
        </is>
      </c>
      <c r="B7" s="14" t="n">
        <v>0.8</v>
      </c>
      <c r="C7" s="22" t="inlineStr">
        <is>
          <t>Qty Held Weight = 0.8 because on-hand stock matters, but less than usage and flow when assigning priority storage.</t>
        </is>
      </c>
    </row>
    <row r="8" ht="29" customHeight="1" s="38">
      <c r="A8" t="inlineStr">
        <is>
          <t>Item Type Weight</t>
        </is>
      </c>
      <c r="B8" s="14" t="n">
        <v>1</v>
      </c>
      <c r="C8" s="22" t="inlineStr">
        <is>
          <t>Item Type Weight = 1 to reflect handling needs, such as bulk, heavy, fragile, or food-specific storage requirements.</t>
        </is>
      </c>
    </row>
    <row r="9" ht="29" customHeight="1" s="38">
      <c r="A9" t="inlineStr">
        <is>
          <t>Freq Weight</t>
        </is>
      </c>
      <c r="B9" s="14" t="n">
        <v>1</v>
      </c>
      <c r="C9" s="22" t="inlineStr">
        <is>
          <t>Frequency Weight = 1 because inbound/outbound frequency helps refine movement intensity without overpowering the main usage and flow factors.</t>
        </is>
      </c>
    </row>
    <row r="10" ht="29" customHeight="1" s="38">
      <c r="A10" t="inlineStr">
        <is>
          <t>A-Level Threshold</t>
        </is>
      </c>
      <c r="B10" s="14" t="n">
        <v>22</v>
      </c>
      <c r="C10" s="22" t="inlineStr">
        <is>
          <t>A-Level Threshold = 22 means only the highest-priority items qualify for premium lower/front storage locations.</t>
        </is>
      </c>
    </row>
    <row r="11" ht="29" customHeight="1" s="38">
      <c r="A11" t="inlineStr">
        <is>
          <t>B-Level Threshold</t>
        </is>
      </c>
      <c r="B11" s="14" t="n">
        <v>16</v>
      </c>
      <c r="C11" s="22" t="inlineStr">
        <is>
          <t>B-Level Threshold = 16 means medium-priority items are placed in intermediate locations. Items below this generally move to C-level or deeper storage.</t>
        </is>
      </c>
    </row>
    <row r="12" ht="29" customHeight="1" s="38">
      <c r="A12" t="inlineStr">
        <is>
          <t>Bulk Lower-Level Cutoff</t>
        </is>
      </c>
      <c r="B12" s="14" t="n">
        <v>1000</v>
      </c>
      <c r="C12" s="22" t="inlineStr">
        <is>
          <t>Bulk Lower-Level Cutoff = 1000 means any bulk item with more than 1,000 units held should be forced to a lower level for safety, handling, and replenishment efficiency.</t>
        </is>
      </c>
    </row>
    <row r="15" ht="15.5" customHeight="1" s="38">
      <c r="A15" s="40" t="inlineStr">
        <is>
          <t>Cube Measurement Controls</t>
        </is>
      </c>
    </row>
    <row r="17">
      <c r="A17" s="25" t="inlineStr">
        <is>
          <t>Input</t>
        </is>
      </c>
      <c r="B17" s="25" t="inlineStr">
        <is>
          <t>Value</t>
        </is>
      </c>
      <c r="C17" s="25" t="inlineStr">
        <is>
          <t>Explanation / Criteria</t>
        </is>
      </c>
    </row>
    <row r="18">
      <c r="A18" t="inlineStr">
        <is>
          <t>Min Cube Height (ft)</t>
        </is>
      </c>
      <c r="B18" s="26" t="n">
        <v>5.25</v>
      </c>
      <c r="C18" s="42" t="inlineStr">
        <is>
          <t>Minimum observed cube height based on site measurement: 5'3".</t>
        </is>
      </c>
    </row>
    <row r="19">
      <c r="A19" t="inlineStr">
        <is>
          <t>Max Cube Height (ft)</t>
        </is>
      </c>
      <c r="B19" s="26" t="n">
        <v>6.08</v>
      </c>
      <c r="C19" s="42" t="inlineStr">
        <is>
          <t>Maximum observed cube height based on site measurement: 6'1".</t>
        </is>
      </c>
    </row>
    <row r="20">
      <c r="A20" t="inlineStr">
        <is>
          <t>Cube Width (in)</t>
        </is>
      </c>
      <c r="B20" s="26" t="n">
        <v>40</v>
      </c>
      <c r="C20" s="42" t="inlineStr">
        <is>
          <t>Observed cube width.</t>
        </is>
      </c>
    </row>
    <row r="21">
      <c r="A21" t="inlineStr">
        <is>
          <t>Cube Depth (in)</t>
        </is>
      </c>
      <c r="B21" s="26" t="n">
        <v>48</v>
      </c>
      <c r="C21" s="42" t="inlineStr">
        <is>
          <t>Observed cube depth.</t>
        </is>
      </c>
    </row>
    <row r="22">
      <c r="A22" t="inlineStr">
        <is>
          <t>Default Cube Height (ft)</t>
        </is>
      </c>
      <c r="B22" s="26" t="n">
        <v>5.67</v>
      </c>
      <c r="C22" s="42" t="inlineStr">
        <is>
          <t>Average working height used for volume calculations when a specific height is not assigned.</t>
        </is>
      </c>
    </row>
    <row r="24">
      <c r="A24" t="inlineStr">
        <is>
          <t>Fresh Food Max Days</t>
        </is>
      </c>
      <c r="B24" s="26" t="n">
        <v>3</v>
      </c>
      <c r="C24" s="42" t="inlineStr">
        <is>
          <t>Fresh food should move within 3 days; use high flow and front-access recommendations where applicable.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5"/>
  <cols>
    <col width="28" customWidth="1" style="38" min="1" max="1"/>
    <col width="20" customWidth="1" style="38" min="2" max="2"/>
    <col width="80" customWidth="1" style="38" min="3" max="3"/>
  </cols>
  <sheetData>
    <row r="1" ht="18.5" customHeight="1" s="38">
      <c r="A1" s="23" t="inlineStr">
        <is>
          <t>Capacity-Constrained Allocation Logic</t>
        </is>
      </c>
    </row>
    <row r="3">
      <c r="A3" s="27" t="inlineStr">
        <is>
          <t>Constraint</t>
        </is>
      </c>
      <c r="B3" s="27" t="inlineStr">
        <is>
          <t>Value</t>
        </is>
      </c>
      <c r="C3" s="27" t="inlineStr">
        <is>
          <t>How Used</t>
        </is>
      </c>
    </row>
    <row r="4">
      <c r="A4" t="inlineStr">
        <is>
          <t>Premium item slots</t>
        </is>
      </c>
      <c r="B4" t="n">
        <v>5</v>
      </c>
      <c r="C4" s="42" t="inlineStr">
        <is>
          <t>Only the top 5 ranked items can use premium A-level/front locations.</t>
        </is>
      </c>
    </row>
    <row r="5">
      <c r="A5" t="inlineStr">
        <is>
          <t>Standard item slots</t>
        </is>
      </c>
      <c r="B5" t="n">
        <v>5</v>
      </c>
      <c r="C5" s="42" t="inlineStr">
        <is>
          <t>Next 5 ranked items are pushed to standard B-level/mid-access locations.</t>
        </is>
      </c>
    </row>
    <row r="6">
      <c r="A6" t="inlineStr">
        <is>
          <t>Reserve item slots</t>
        </is>
      </c>
      <c r="B6" t="n">
        <v>5</v>
      </c>
      <c r="C6" s="42" t="inlineStr">
        <is>
          <t>Remaining items are routed to reserve/support storage.</t>
        </is>
      </c>
    </row>
    <row r="7">
      <c r="A7" t="inlineStr">
        <is>
          <t>GIK role</t>
        </is>
      </c>
      <c r="B7" t="inlineStr">
        <is>
          <t>High-flow bulk zone</t>
        </is>
      </c>
      <c r="C7" s="42" t="inlineStr">
        <is>
          <t>Primary zone for water, bulk pantry, and fast protein items.</t>
        </is>
      </c>
    </row>
    <row r="8">
      <c r="A8" t="inlineStr">
        <is>
          <t>FOOD role</t>
        </is>
      </c>
      <c r="B8" t="inlineStr">
        <is>
          <t>Primary food zone</t>
        </is>
      </c>
      <c r="C8" s="42" t="inlineStr">
        <is>
          <t>Main zone for staple and entrée food items.</t>
        </is>
      </c>
    </row>
    <row r="9">
      <c r="A9" t="inlineStr">
        <is>
          <t>GARAGE/KITCHEN role</t>
        </is>
      </c>
      <c r="B9" t="inlineStr">
        <is>
          <t>Reserve / support zone</t>
        </is>
      </c>
      <c r="C9" s="42" t="inlineStr">
        <is>
          <t>Used for medium/low-priority reserve and support storage.</t>
        </is>
      </c>
    </row>
    <row r="10">
      <c r="A10" t="inlineStr">
        <is>
          <t>ADDITIONS role</t>
        </is>
      </c>
      <c r="B10" t="inlineStr">
        <is>
          <t>Overflow bulk support</t>
        </is>
      </c>
      <c r="C10" s="42" t="inlineStr">
        <is>
          <t>Used qualitatively to support push-back overflow for very large items.</t>
        </is>
      </c>
    </row>
    <row r="12" ht="29" customHeight="1" s="38">
      <c r="A12" s="27" t="inlineStr">
        <is>
          <t>Depth Optimization Rule</t>
        </is>
      </c>
      <c r="B12" s="27" t="inlineStr">
        <is>
          <t>Enabled</t>
        </is>
      </c>
      <c r="C12" s="36" t="inlineStr">
        <is>
          <t>Within each capacity bucket, items are distributed across 1 / 2 / 3 based on rank so premium items do not all go to the same front-most slot.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4.5"/>
  <cols>
    <col width="48" customWidth="1" style="38" min="1" max="1"/>
    <col width="90" customWidth="1" style="38" min="2" max="2"/>
  </cols>
  <sheetData>
    <row r="1" ht="18.5" customHeight="1" s="38">
      <c r="A1" s="23" t="inlineStr">
        <is>
          <t>Field Notes and Operating Assumptions</t>
        </is>
      </c>
    </row>
    <row r="3">
      <c r="A3" s="28" t="inlineStr">
        <is>
          <t>Note</t>
        </is>
      </c>
      <c r="B3" s="28" t="inlineStr">
        <is>
          <t>How Applied in Model</t>
        </is>
      </c>
    </row>
    <row r="4" ht="29" customHeight="1" s="38">
      <c r="A4" t="inlineStr">
        <is>
          <t>Peanut butter comes in bulk around 4 times per week (1 truckload).</t>
        </is>
      </c>
      <c r="B4" s="42" t="inlineStr">
        <is>
          <t>Peanut Butter was reclassified as Bulk and its inbound/outbound frequency was increased to 4x/Week to reflect higher movement.</t>
        </is>
      </c>
    </row>
    <row r="5" ht="29" customHeight="1" s="38">
      <c r="A5" t="inlineStr">
        <is>
          <t>Fresh food stays in the warehouse at most 3 days.</t>
        </is>
      </c>
      <c r="B5" s="42" t="inlineStr">
        <is>
          <t>Fresh / time-sensitive items were treated as high-flow items so they are recommended to fast-access storage.</t>
        </is>
      </c>
    </row>
    <row r="6" ht="29" customHeight="1" s="38">
      <c r="A6" t="inlineStr">
        <is>
          <t>26 pallets come to warehouse every week (not fully confirmed).</t>
        </is>
      </c>
      <c r="B6" s="42" t="inlineStr">
        <is>
          <t>This was documented as an operational note, but not used as a hard quantitative rule because it is not fully confirmed.</t>
        </is>
      </c>
    </row>
    <row r="7">
      <c r="A7" t="inlineStr">
        <is>
          <t>Core slotting factors: usage rate, item type, quantity received, quantity held.</t>
        </is>
      </c>
      <c r="B7" s="42" t="inlineStr">
        <is>
          <t>These remain the core drivers in the slotting score, together with goods flow and cube-fit validation.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4.5"/>
  <cols>
    <col width="24" customWidth="1" style="38" min="1" max="1"/>
    <col width="20" customWidth="1" style="38" min="2" max="2"/>
    <col width="22" customWidth="1" style="38" min="3" max="3"/>
    <col width="28" customWidth="1" style="38" min="4" max="4"/>
    <col width="18" customWidth="1" style="38" min="5" max="5"/>
    <col width="12" customWidth="1" style="38" min="6" max="6"/>
    <col width="14" customWidth="1" style="38" min="7" max="7"/>
    <col width="38" customWidth="1" style="38" min="8" max="8"/>
    <col width="48" customWidth="1" style="38" min="9" max="9"/>
  </cols>
  <sheetData>
    <row r="1" ht="18.5" customHeight="1" s="38">
      <c r="A1" s="23" t="inlineStr">
        <is>
          <t>Practical Storage Reallocation Plan (Score-Based Hybrid Logic)</t>
        </is>
      </c>
    </row>
    <row r="3" ht="29" customHeight="1" s="38">
      <c r="A3" s="27" t="inlineStr">
        <is>
          <t>Item</t>
        </is>
      </c>
      <c r="B3" s="27" t="inlineStr">
        <is>
          <t>Current_Location</t>
        </is>
      </c>
      <c r="C3" s="27" t="inlineStr">
        <is>
          <t>Model_Ideal_Location</t>
        </is>
      </c>
      <c r="D3" s="27" t="inlineStr">
        <is>
          <t>Hybrid_Location</t>
        </is>
      </c>
      <c r="E3" s="27" t="inlineStr">
        <is>
          <t>Preferred_Area</t>
        </is>
      </c>
      <c r="F3" s="27" t="inlineStr">
        <is>
          <t>Priority_Rank</t>
        </is>
      </c>
      <c r="G3" s="27" t="inlineStr">
        <is>
          <t>Bucket</t>
        </is>
      </c>
      <c r="H3" s="27" t="inlineStr">
        <is>
          <t>Action</t>
        </is>
      </c>
      <c r="I3" s="27" t="inlineStr">
        <is>
          <t>Reason</t>
        </is>
      </c>
    </row>
    <row r="4">
      <c r="A4">
        <f>Slotting_Model!A4</f>
        <v/>
      </c>
      <c r="B4">
        <f>Slotting_Model!J4</f>
        <v/>
      </c>
      <c r="C4">
        <f>Slotting_Model!AB4</f>
        <v/>
      </c>
      <c r="D4">
        <f>Slotting_Model!AO4</f>
        <v/>
      </c>
      <c r="E4">
        <f>Slotting_Model!AG4</f>
        <v/>
      </c>
      <c r="F4">
        <f>Slotting_Model!AF4</f>
        <v/>
      </c>
      <c r="G4">
        <f>Slotting_Model!AH4</f>
        <v/>
      </c>
      <c r="H4">
        <f>IF(B4=D4,"Keep in place","Move using hybrid ranking plan")</f>
        <v/>
      </c>
      <c r="I4" s="42">
        <f>Slotting_Model!AP4</f>
        <v/>
      </c>
    </row>
    <row r="5">
      <c r="A5">
        <f>Slotting_Model!A5</f>
        <v/>
      </c>
      <c r="B5">
        <f>Slotting_Model!J5</f>
        <v/>
      </c>
      <c r="C5">
        <f>Slotting_Model!AB5</f>
        <v/>
      </c>
      <c r="D5">
        <f>Slotting_Model!AO5</f>
        <v/>
      </c>
      <c r="E5">
        <f>Slotting_Model!AG5</f>
        <v/>
      </c>
      <c r="F5">
        <f>Slotting_Model!AF5</f>
        <v/>
      </c>
      <c r="G5">
        <f>Slotting_Model!AH5</f>
        <v/>
      </c>
      <c r="H5">
        <f>IF(B5=D5,"Keep in place","Move using hybrid ranking plan")</f>
        <v/>
      </c>
      <c r="I5" s="42">
        <f>Slotting_Model!AP5</f>
        <v/>
      </c>
    </row>
    <row r="6">
      <c r="A6">
        <f>Slotting_Model!A6</f>
        <v/>
      </c>
      <c r="B6">
        <f>Slotting_Model!J6</f>
        <v/>
      </c>
      <c r="C6">
        <f>Slotting_Model!AB6</f>
        <v/>
      </c>
      <c r="D6">
        <f>Slotting_Model!AO6</f>
        <v/>
      </c>
      <c r="E6">
        <f>Slotting_Model!AG6</f>
        <v/>
      </c>
      <c r="F6">
        <f>Slotting_Model!AF6</f>
        <v/>
      </c>
      <c r="G6">
        <f>Slotting_Model!AH6</f>
        <v/>
      </c>
      <c r="H6">
        <f>IF(B6=D6,"Keep in place","Move using hybrid ranking plan")</f>
        <v/>
      </c>
      <c r="I6" s="42">
        <f>Slotting_Model!AP6</f>
        <v/>
      </c>
    </row>
    <row r="7">
      <c r="A7">
        <f>Slotting_Model!A7</f>
        <v/>
      </c>
      <c r="B7">
        <f>Slotting_Model!J7</f>
        <v/>
      </c>
      <c r="C7">
        <f>Slotting_Model!AB7</f>
        <v/>
      </c>
      <c r="D7">
        <f>Slotting_Model!AO7</f>
        <v/>
      </c>
      <c r="E7">
        <f>Slotting_Model!AG7</f>
        <v/>
      </c>
      <c r="F7">
        <f>Slotting_Model!AF7</f>
        <v/>
      </c>
      <c r="G7">
        <f>Slotting_Model!AH7</f>
        <v/>
      </c>
      <c r="H7">
        <f>IF(B7=D7,"Keep in place","Move using hybrid ranking plan")</f>
        <v/>
      </c>
      <c r="I7" s="42">
        <f>Slotting_Model!AP7</f>
        <v/>
      </c>
    </row>
    <row r="8">
      <c r="A8">
        <f>Slotting_Model!A8</f>
        <v/>
      </c>
      <c r="B8">
        <f>Slotting_Model!J8</f>
        <v/>
      </c>
      <c r="C8">
        <f>Slotting_Model!AB8</f>
        <v/>
      </c>
      <c r="D8">
        <f>Slotting_Model!AO8</f>
        <v/>
      </c>
      <c r="E8">
        <f>Slotting_Model!AG8</f>
        <v/>
      </c>
      <c r="F8">
        <f>Slotting_Model!AF8</f>
        <v/>
      </c>
      <c r="G8">
        <f>Slotting_Model!AH8</f>
        <v/>
      </c>
      <c r="H8">
        <f>IF(B8=D8,"Keep in place","Move using hybrid ranking plan")</f>
        <v/>
      </c>
      <c r="I8" s="42">
        <f>Slotting_Model!AP8</f>
        <v/>
      </c>
    </row>
    <row r="9">
      <c r="A9">
        <f>Slotting_Model!A9</f>
        <v/>
      </c>
      <c r="B9">
        <f>Slotting_Model!J9</f>
        <v/>
      </c>
      <c r="C9">
        <f>Slotting_Model!AB9</f>
        <v/>
      </c>
      <c r="D9">
        <f>Slotting_Model!AO9</f>
        <v/>
      </c>
      <c r="E9">
        <f>Slotting_Model!AG9</f>
        <v/>
      </c>
      <c r="F9">
        <f>Slotting_Model!AF9</f>
        <v/>
      </c>
      <c r="G9">
        <f>Slotting_Model!AH9</f>
        <v/>
      </c>
      <c r="H9">
        <f>IF(B9=D9,"Keep in place","Move using hybrid ranking plan")</f>
        <v/>
      </c>
      <c r="I9" s="42">
        <f>Slotting_Model!AP9</f>
        <v/>
      </c>
    </row>
    <row r="10">
      <c r="A10">
        <f>Slotting_Model!A10</f>
        <v/>
      </c>
      <c r="B10">
        <f>Slotting_Model!J10</f>
        <v/>
      </c>
      <c r="C10">
        <f>Slotting_Model!AB10</f>
        <v/>
      </c>
      <c r="D10">
        <f>Slotting_Model!AO10</f>
        <v/>
      </c>
      <c r="E10">
        <f>Slotting_Model!AG10</f>
        <v/>
      </c>
      <c r="F10">
        <f>Slotting_Model!AF10</f>
        <v/>
      </c>
      <c r="G10">
        <f>Slotting_Model!AH10</f>
        <v/>
      </c>
      <c r="H10">
        <f>IF(B10=D10,"Keep in place","Move using hybrid ranking plan")</f>
        <v/>
      </c>
      <c r="I10" s="42">
        <f>Slotting_Model!AP10</f>
        <v/>
      </c>
    </row>
    <row r="11">
      <c r="A11">
        <f>Slotting_Model!A11</f>
        <v/>
      </c>
      <c r="B11">
        <f>Slotting_Model!J11</f>
        <v/>
      </c>
      <c r="C11">
        <f>Slotting_Model!AB11</f>
        <v/>
      </c>
      <c r="D11">
        <f>Slotting_Model!AO11</f>
        <v/>
      </c>
      <c r="E11">
        <f>Slotting_Model!AG11</f>
        <v/>
      </c>
      <c r="F11">
        <f>Slotting_Model!AF11</f>
        <v/>
      </c>
      <c r="G11">
        <f>Slotting_Model!AH11</f>
        <v/>
      </c>
      <c r="H11">
        <f>IF(B11=D11,"Keep in place","Move using hybrid ranking plan")</f>
        <v/>
      </c>
      <c r="I11" s="42">
        <f>Slotting_Model!AP11</f>
        <v/>
      </c>
    </row>
    <row r="12">
      <c r="A12">
        <f>Slotting_Model!A12</f>
        <v/>
      </c>
      <c r="B12">
        <f>Slotting_Model!J12</f>
        <v/>
      </c>
      <c r="C12">
        <f>Slotting_Model!AB12</f>
        <v/>
      </c>
      <c r="D12">
        <f>Slotting_Model!AO12</f>
        <v/>
      </c>
      <c r="E12">
        <f>Slotting_Model!AG12</f>
        <v/>
      </c>
      <c r="F12">
        <f>Slotting_Model!AF12</f>
        <v/>
      </c>
      <c r="G12">
        <f>Slotting_Model!AH12</f>
        <v/>
      </c>
      <c r="H12">
        <f>IF(B12=D12,"Keep in place","Move using hybrid ranking plan")</f>
        <v/>
      </c>
      <c r="I12" s="42">
        <f>Slotting_Model!AP12</f>
        <v/>
      </c>
    </row>
    <row r="13">
      <c r="A13">
        <f>Slotting_Model!A13</f>
        <v/>
      </c>
      <c r="B13">
        <f>Slotting_Model!J13</f>
        <v/>
      </c>
      <c r="C13">
        <f>Slotting_Model!AB13</f>
        <v/>
      </c>
      <c r="D13">
        <f>Slotting_Model!AO13</f>
        <v/>
      </c>
      <c r="E13">
        <f>Slotting_Model!AG13</f>
        <v/>
      </c>
      <c r="F13">
        <f>Slotting_Model!AF13</f>
        <v/>
      </c>
      <c r="G13">
        <f>Slotting_Model!AH13</f>
        <v/>
      </c>
      <c r="H13">
        <f>IF(B13=D13,"Keep in place","Move using hybrid ranking plan")</f>
        <v/>
      </c>
      <c r="I13" s="42">
        <f>Slotting_Model!AP13</f>
        <v/>
      </c>
    </row>
    <row r="14">
      <c r="A14">
        <f>Slotting_Model!A14</f>
        <v/>
      </c>
      <c r="B14">
        <f>Slotting_Model!J14</f>
        <v/>
      </c>
      <c r="C14">
        <f>Slotting_Model!AB14</f>
        <v/>
      </c>
      <c r="D14">
        <f>Slotting_Model!AO14</f>
        <v/>
      </c>
      <c r="E14">
        <f>Slotting_Model!AG14</f>
        <v/>
      </c>
      <c r="F14">
        <f>Slotting_Model!AF14</f>
        <v/>
      </c>
      <c r="G14">
        <f>Slotting_Model!AH14</f>
        <v/>
      </c>
      <c r="H14">
        <f>IF(B14=D14,"Keep in place","Move using hybrid ranking plan")</f>
        <v/>
      </c>
      <c r="I14" s="42">
        <f>Slotting_Model!AP14</f>
        <v/>
      </c>
    </row>
    <row r="15">
      <c r="A15">
        <f>Slotting_Model!A15</f>
        <v/>
      </c>
      <c r="B15">
        <f>Slotting_Model!J15</f>
        <v/>
      </c>
      <c r="C15">
        <f>Slotting_Model!AB15</f>
        <v/>
      </c>
      <c r="D15">
        <f>Slotting_Model!AO15</f>
        <v/>
      </c>
      <c r="E15">
        <f>Slotting_Model!AG15</f>
        <v/>
      </c>
      <c r="F15">
        <f>Slotting_Model!AF15</f>
        <v/>
      </c>
      <c r="G15">
        <f>Slotting_Model!AH15</f>
        <v/>
      </c>
      <c r="H15">
        <f>IF(B15=D15,"Keep in place","Move using hybrid ranking plan")</f>
        <v/>
      </c>
      <c r="I15" s="42">
        <f>Slotting_Model!AP15</f>
        <v/>
      </c>
    </row>
    <row r="16">
      <c r="A16">
        <f>Slotting_Model!A16</f>
        <v/>
      </c>
      <c r="B16">
        <f>Slotting_Model!J16</f>
        <v/>
      </c>
      <c r="C16">
        <f>Slotting_Model!AB16</f>
        <v/>
      </c>
      <c r="D16">
        <f>Slotting_Model!AO16</f>
        <v/>
      </c>
      <c r="E16">
        <f>Slotting_Model!AG16</f>
        <v/>
      </c>
      <c r="F16">
        <f>Slotting_Model!AF16</f>
        <v/>
      </c>
      <c r="G16">
        <f>Slotting_Model!AH16</f>
        <v/>
      </c>
      <c r="H16">
        <f>IF(B16=D16,"Keep in place","Move using hybrid ranking plan")</f>
        <v/>
      </c>
      <c r="I16" s="42">
        <f>Slotting_Model!AP16</f>
        <v/>
      </c>
    </row>
    <row r="17">
      <c r="A17">
        <f>Slotting_Model!A17</f>
        <v/>
      </c>
      <c r="B17">
        <f>Slotting_Model!J17</f>
        <v/>
      </c>
      <c r="C17">
        <f>Slotting_Model!AB17</f>
        <v/>
      </c>
      <c r="D17">
        <f>Slotting_Model!AO17</f>
        <v/>
      </c>
      <c r="E17">
        <f>Slotting_Model!AG17</f>
        <v/>
      </c>
      <c r="F17">
        <f>Slotting_Model!AF17</f>
        <v/>
      </c>
      <c r="G17">
        <f>Slotting_Model!AH17</f>
        <v/>
      </c>
      <c r="H17">
        <f>IF(B17=D17,"Keep in place","Move using hybrid ranking plan")</f>
        <v/>
      </c>
      <c r="I17" s="42">
        <f>Slotting_Model!AP17</f>
        <v/>
      </c>
    </row>
    <row r="18">
      <c r="A18">
        <f>Slotting_Model!A18</f>
        <v/>
      </c>
      <c r="B18">
        <f>Slotting_Model!J18</f>
        <v/>
      </c>
      <c r="C18">
        <f>Slotting_Model!AB18</f>
        <v/>
      </c>
      <c r="D18">
        <f>Slotting_Model!AO18</f>
        <v/>
      </c>
      <c r="E18">
        <f>Slotting_Model!AG18</f>
        <v/>
      </c>
      <c r="F18">
        <f>Slotting_Model!AF18</f>
        <v/>
      </c>
      <c r="G18">
        <f>Slotting_Model!AH18</f>
        <v/>
      </c>
      <c r="H18">
        <f>IF(B18=D18,"Keep in place","Move using hybrid ranking plan")</f>
        <v/>
      </c>
      <c r="I18" s="42">
        <f>Slotting_Model!AP18</f>
        <v/>
      </c>
    </row>
    <row r="21">
      <c r="A21" t="inlineStr">
        <is>
          <t>How this plan works</t>
        </is>
      </c>
    </row>
    <row r="22">
      <c r="A22" t="inlineStr">
        <is>
          <t>• Premium A-level/front slots are limited to the top-ranked items only.</t>
        </is>
      </c>
    </row>
    <row r="23">
      <c r="A23" t="inlineStr">
        <is>
          <t>• GIK is used for bulk/high-flow items because it has the strongest quantified expansion.</t>
        </is>
      </c>
    </row>
    <row r="24">
      <c r="A24" t="inlineStr">
        <is>
          <t>• FOOD is used for core staple food items and high-use pantry items.</t>
        </is>
      </c>
    </row>
    <row r="25">
      <c r="A25" t="inlineStr">
        <is>
          <t>• GARAGE/KITCHEN is used as reserve/support storage for medium and lower-priority items.</t>
        </is>
      </c>
    </row>
    <row r="26">
      <c r="A26" t="inlineStr">
        <is>
          <t>• ADDITIONS is used as overflow bulk support because the drawing supports push-back expansion but does not provide a stated pallet total.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4.5"/>
  <cols>
    <col width="16" customWidth="1" style="38" min="1" max="1"/>
    <col width="12" customWidth="1" style="38" min="2" max="2"/>
    <col width="16" customWidth="1" style="38" min="3" max="3"/>
    <col width="14" customWidth="1" style="38" min="4" max="5"/>
  </cols>
  <sheetData>
    <row r="1" ht="18.5" customHeight="1" s="38">
      <c r="A1" s="37" t="inlineStr">
        <is>
          <t>Category Summary</t>
        </is>
      </c>
    </row>
    <row r="3">
      <c r="A3" s="8" t="inlineStr">
        <is>
          <t>Category</t>
        </is>
      </c>
      <c r="B3" s="8" t="inlineStr">
        <is>
          <t>Txn Count</t>
        </is>
      </c>
      <c r="C3" s="8" t="inlineStr">
        <is>
          <t>Net Spend ($)</t>
        </is>
      </c>
      <c r="D3" s="8" t="inlineStr">
        <is>
          <t>Spend Share</t>
        </is>
      </c>
      <c r="E3" s="8" t="inlineStr">
        <is>
          <t>Avg Ticket ($)</t>
        </is>
      </c>
    </row>
    <row r="4">
      <c r="A4" t="inlineStr">
        <is>
          <t>Food</t>
        </is>
      </c>
      <c r="B4" s="9">
        <f>COUNTIF(Clean_Transactions!D:D,A4)</f>
        <v/>
      </c>
      <c r="C4" s="11">
        <f>SUMIF(Clean_Transactions!D:D,A4,Clean_Transactions!H:H)</f>
        <v/>
      </c>
      <c r="D4" s="10">
        <f>IF($C$7=0,0,C4/$C$7)</f>
        <v/>
      </c>
      <c r="E4" s="11">
        <f>IF(B4=0,0,C4/B4)</f>
        <v/>
      </c>
    </row>
    <row r="5">
      <c r="A5" t="inlineStr">
        <is>
          <t>Meat</t>
        </is>
      </c>
      <c r="B5" s="9">
        <f>COUNTIF(Clean_Transactions!D:D,A5)</f>
        <v/>
      </c>
      <c r="C5" s="11">
        <f>SUMIF(Clean_Transactions!D:D,A5,Clean_Transactions!H:H)</f>
        <v/>
      </c>
      <c r="D5" s="10">
        <f>IF($C$7=0,0,C5/$C$7)</f>
        <v/>
      </c>
      <c r="E5" s="11">
        <f>IF(B5=0,0,C5/B5)</f>
        <v/>
      </c>
    </row>
    <row r="6">
      <c r="A6" t="inlineStr">
        <is>
          <t>Water</t>
        </is>
      </c>
      <c r="B6" s="9">
        <f>COUNTIF(Clean_Transactions!D:D,A6)</f>
        <v/>
      </c>
      <c r="C6" s="11">
        <f>SUMIF(Clean_Transactions!D:D,A6,Clean_Transactions!H:H)</f>
        <v/>
      </c>
      <c r="D6" s="10">
        <f>IF($C$7=0,0,C6/$C$7)</f>
        <v/>
      </c>
      <c r="E6" s="11">
        <f>IF(B6=0,0,C6/B6)</f>
        <v/>
      </c>
    </row>
    <row r="7">
      <c r="A7" t="inlineStr">
        <is>
          <t>Total</t>
        </is>
      </c>
      <c r="B7" s="9">
        <f>SUM(B4:B6)</f>
        <v/>
      </c>
      <c r="C7" s="11">
        <f>SUM(C4:C6)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30" customWidth="1" style="38" min="1" max="1"/>
    <col width="12" customWidth="1" style="38" min="2" max="2"/>
    <col width="16" customWidth="1" style="38" min="3" max="3"/>
    <col width="14" customWidth="1" style="38" min="4" max="4"/>
    <col width="18" customWidth="1" style="38" min="5" max="5"/>
  </cols>
  <sheetData>
    <row r="1" ht="18.5" customHeight="1" s="38">
      <c r="A1" s="37" t="inlineStr">
        <is>
          <t>Vendor Summary</t>
        </is>
      </c>
    </row>
    <row r="3">
      <c r="A3" s="8" t="inlineStr">
        <is>
          <t>Supplier</t>
        </is>
      </c>
      <c r="B3" s="8" t="inlineStr">
        <is>
          <t>Txn Count</t>
        </is>
      </c>
      <c r="C3" s="8" t="inlineStr">
        <is>
          <t>Net Spend ($)</t>
        </is>
      </c>
      <c r="D3" s="8" t="inlineStr">
        <is>
          <t>Spend Share</t>
        </is>
      </c>
      <c r="E3" s="8" t="inlineStr">
        <is>
          <t>Category Mix</t>
        </is>
      </c>
    </row>
    <row r="4">
      <c r="A4" t="inlineStr">
        <is>
          <t>NIAGARA BOTTLING, LLC</t>
        </is>
      </c>
      <c r="B4" s="9">
        <f>COUNTIF(Clean_Transactions!C:C,A4)</f>
        <v/>
      </c>
      <c r="C4" s="11">
        <f>SUMIF(Clean_Transactions!C:C,A4,Clean_Transactions!H:H)</f>
        <v/>
      </c>
      <c r="D4" s="10">
        <f>IF($C$10=0,0,C4/$C$10)</f>
        <v/>
      </c>
      <c r="E4" t="inlineStr">
        <is>
          <t>Water</t>
        </is>
      </c>
    </row>
    <row r="5">
      <c r="A5" t="inlineStr">
        <is>
          <t>STAR FOODS INC.</t>
        </is>
      </c>
      <c r="B5" s="9">
        <f>COUNTIF(Clean_Transactions!C:C,A5)</f>
        <v/>
      </c>
      <c r="C5" s="11">
        <f>SUMIF(Clean_Transactions!C:C,A5,Clean_Transactions!H:H)</f>
        <v/>
      </c>
      <c r="D5" s="10">
        <f>IF($C$10=0,0,C5/$C$10)</f>
        <v/>
      </c>
      <c r="E5" t="inlineStr">
        <is>
          <t>Food</t>
        </is>
      </c>
    </row>
    <row r="6">
      <c r="A6" t="inlineStr">
        <is>
          <t>GLOBAL FOODS INC.</t>
        </is>
      </c>
      <c r="B6" s="9">
        <f>COUNTIF(Clean_Transactions!C:C,A6)</f>
        <v/>
      </c>
      <c r="C6" s="11">
        <f>SUMIF(Clean_Transactions!C:C,A6,Clean_Transactions!H:H)</f>
        <v/>
      </c>
      <c r="D6" s="10">
        <f>IF($C$10=0,0,C6/$C$10)</f>
        <v/>
      </c>
      <c r="E6" t="inlineStr">
        <is>
          <t>Food, Meat</t>
        </is>
      </c>
    </row>
    <row r="7">
      <c r="A7" t="inlineStr">
        <is>
          <t>CIS, LLC</t>
        </is>
      </c>
      <c r="B7" s="9">
        <f>COUNTIF(Clean_Transactions!C:C,A7)</f>
        <v/>
      </c>
      <c r="C7" s="11">
        <f>SUMIF(Clean_Transactions!C:C,A7,Clean_Transactions!H:H)</f>
        <v/>
      </c>
      <c r="D7" s="10">
        <f>IF($C$10=0,0,C7/$C$10)</f>
        <v/>
      </c>
      <c r="E7" t="inlineStr">
        <is>
          <t>Food</t>
        </is>
      </c>
    </row>
    <row r="8">
      <c r="A8" t="inlineStr">
        <is>
          <t>Utah Beef Producers LLC</t>
        </is>
      </c>
      <c r="B8" s="9">
        <f>COUNTIF(Clean_Transactions!C:C,A8)</f>
        <v/>
      </c>
      <c r="C8" s="11">
        <f>SUMIF(Clean_Transactions!C:C,A8,Clean_Transactions!H:H)</f>
        <v/>
      </c>
      <c r="D8" s="10">
        <f>IF($C$10=0,0,C8/$C$10)</f>
        <v/>
      </c>
      <c r="E8" t="inlineStr">
        <is>
          <t>Meat</t>
        </is>
      </c>
    </row>
    <row r="9">
      <c r="A9" t="inlineStr">
        <is>
          <t>Unknown</t>
        </is>
      </c>
      <c r="B9" s="9">
        <f>COUNTIF(Clean_Transactions!C:C,A9)</f>
        <v/>
      </c>
      <c r="C9" s="11">
        <f>SUMIF(Clean_Transactions!C:C,A9,Clean_Transactions!H:H)</f>
        <v/>
      </c>
      <c r="D9" s="10">
        <f>IF($C$10=0,0,C9/$C$10)</f>
        <v/>
      </c>
      <c r="E9" t="inlineStr">
        <is>
          <t>Food / Water</t>
        </is>
      </c>
    </row>
    <row r="10">
      <c r="A10" t="inlineStr">
        <is>
          <t>Total</t>
        </is>
      </c>
      <c r="B10">
        <f>SUM(B4:B9)</f>
        <v/>
      </c>
      <c r="C10">
        <f>SUM(C4:C9)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:J1"/>
    </sheetView>
  </sheetViews>
  <sheetFormatPr baseColWidth="8" defaultRowHeight="14.5"/>
  <cols>
    <col width="12" customWidth="1" style="38" min="1" max="1"/>
    <col width="15" customWidth="1" style="38" min="2" max="2"/>
    <col width="20" customWidth="1" style="38" min="3" max="3"/>
    <col width="16" customWidth="1" style="38" min="4" max="5"/>
    <col width="20" customWidth="1" style="38" min="6" max="6"/>
    <col width="12" customWidth="1" style="38" min="7" max="7"/>
    <col width="16" customWidth="1" style="38" min="8" max="10"/>
  </cols>
  <sheetData>
    <row r="1" ht="18.5" customHeight="1" s="38">
      <c r="A1" s="37" t="inlineStr">
        <is>
          <t>Monthly Goods Flow</t>
        </is>
      </c>
    </row>
    <row r="3">
      <c r="A3" s="8" t="inlineStr">
        <is>
          <t>Month</t>
        </is>
      </c>
      <c r="B3" s="8" t="inlineStr">
        <is>
          <t>TEFAP Lbs</t>
        </is>
      </c>
      <c r="C3" s="8" t="inlineStr">
        <is>
          <t>Regular Receipts Lbs</t>
        </is>
      </c>
      <c r="D3" s="8" t="inlineStr">
        <is>
          <t>Food Drives Lbs</t>
        </is>
      </c>
      <c r="E3" s="8" t="inlineStr">
        <is>
          <t>Truck Log Lbs</t>
        </is>
      </c>
      <c r="F3" s="8" t="inlineStr">
        <is>
          <t>Receiving Sheet Lbs</t>
        </is>
      </c>
      <c r="G3" s="8" t="inlineStr">
        <is>
          <t>RTV Lbs</t>
        </is>
      </c>
      <c r="H3" s="8" t="inlineStr">
        <is>
          <t>Garbage Out Lbs</t>
        </is>
      </c>
      <c r="I3" s="8" t="inlineStr">
        <is>
          <t>Total Inbound Lbs</t>
        </is>
      </c>
      <c r="J3" s="8" t="inlineStr">
        <is>
          <t>Net Usable Lbs</t>
        </is>
      </c>
    </row>
    <row r="4">
      <c r="A4" s="12" t="inlineStr">
        <is>
          <t>Oct-2025</t>
        </is>
      </c>
      <c r="B4" s="9" t="n">
        <v>1764</v>
      </c>
      <c r="C4" s="9" t="n">
        <v>89891</v>
      </c>
      <c r="D4" s="9" t="n">
        <v>0</v>
      </c>
      <c r="E4" s="9" t="n">
        <v>23795</v>
      </c>
      <c r="F4" s="9" t="n">
        <v>497495</v>
      </c>
      <c r="G4" s="9" t="n">
        <v>4728</v>
      </c>
      <c r="H4" s="9" t="n">
        <v>66380</v>
      </c>
      <c r="I4" s="9" t="n">
        <v>91655</v>
      </c>
      <c r="J4" s="9" t="n">
        <v>20547</v>
      </c>
    </row>
    <row r="5">
      <c r="A5" s="12" t="inlineStr">
        <is>
          <t>Nov-2025</t>
        </is>
      </c>
      <c r="B5" s="9" t="n">
        <v>5890</v>
      </c>
      <c r="C5" s="9" t="n">
        <v>70232</v>
      </c>
      <c r="D5" s="9" t="n">
        <v>82211</v>
      </c>
      <c r="E5" s="9" t="n">
        <v>31749</v>
      </c>
      <c r="F5" s="9" t="n">
        <v>497066</v>
      </c>
      <c r="G5" s="9" t="n">
        <v>0</v>
      </c>
      <c r="H5" s="9" t="n">
        <v>43960</v>
      </c>
      <c r="I5" s="9" t="n">
        <v>158333</v>
      </c>
      <c r="J5" s="9" t="n">
        <v>114373</v>
      </c>
    </row>
    <row r="6">
      <c r="A6" s="12" t="inlineStr">
        <is>
          <t>Dec-2025</t>
        </is>
      </c>
      <c r="B6" s="9" t="n">
        <v>10034</v>
      </c>
      <c r="C6" s="9" t="n">
        <v>60625</v>
      </c>
      <c r="D6" s="9" t="n">
        <v>60207</v>
      </c>
      <c r="E6" s="9" t="n">
        <v>24957</v>
      </c>
      <c r="F6" s="9" t="n">
        <v>435128</v>
      </c>
      <c r="G6" s="9" t="n">
        <v>0</v>
      </c>
      <c r="H6" s="9" t="n">
        <v>34980</v>
      </c>
      <c r="I6" s="9" t="n">
        <v>130866</v>
      </c>
      <c r="J6" s="9" t="n">
        <v>95886</v>
      </c>
    </row>
    <row r="7">
      <c r="A7" s="12" t="inlineStr">
        <is>
          <t>Jan-2026</t>
        </is>
      </c>
      <c r="B7" s="9" t="n">
        <v>13180</v>
      </c>
      <c r="C7" s="9" t="n">
        <v>438120</v>
      </c>
      <c r="D7" s="9" t="n">
        <v>15600</v>
      </c>
      <c r="E7" s="9" t="n">
        <v>87625</v>
      </c>
      <c r="F7" s="9" t="n">
        <v>438120</v>
      </c>
      <c r="G7" s="9" t="n">
        <v>8178</v>
      </c>
      <c r="H7" s="9" t="n">
        <v>38600</v>
      </c>
      <c r="I7" s="9" t="n">
        <v>466900</v>
      </c>
      <c r="J7" s="9" t="n">
        <v>420122</v>
      </c>
    </row>
    <row r="8">
      <c r="A8" t="inlineStr">
        <is>
          <t>Total</t>
        </is>
      </c>
      <c r="B8" s="9">
        <f>SUM(B4:B7)</f>
        <v/>
      </c>
      <c r="C8" s="9">
        <f>SUM(C4:C7)</f>
        <v/>
      </c>
      <c r="D8" s="9">
        <f>SUM(D4:D7)</f>
        <v/>
      </c>
      <c r="E8" s="9">
        <f>SUM(E4:E7)</f>
        <v/>
      </c>
      <c r="F8" s="9">
        <f>SUM(F4:F7)</f>
        <v/>
      </c>
      <c r="G8" s="9">
        <f>SUM(G4:G7)</f>
        <v/>
      </c>
      <c r="H8" s="9">
        <f>SUM(H4:H7)</f>
        <v/>
      </c>
      <c r="I8" s="9">
        <f>SUM(I4:I7)</f>
        <v/>
      </c>
      <c r="J8" s="9">
        <f>SUM(J4:J7)</f>
        <v/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4.5"/>
  <cols>
    <col width="14" customWidth="1" style="38" min="1" max="1"/>
    <col width="16" customWidth="1" style="38" min="2" max="3"/>
    <col width="12" customWidth="1" style="38" min="4" max="5"/>
    <col width="70" customWidth="1" style="38" min="6" max="6"/>
  </cols>
  <sheetData>
    <row r="1" ht="18.5" customHeight="1" s="38">
      <c r="A1" s="37" t="inlineStr">
        <is>
          <t>Warehouse Capacity and Layout Integration (4 Layout Files)</t>
        </is>
      </c>
    </row>
    <row r="3">
      <c r="A3" s="8" t="inlineStr">
        <is>
          <t>Layout Area</t>
        </is>
      </c>
      <c r="B3" s="8" t="inlineStr">
        <is>
          <t>Before Pallets</t>
        </is>
      </c>
      <c r="C3" s="8" t="inlineStr">
        <is>
          <t>After Pallets</t>
        </is>
      </c>
      <c r="D3" s="8" t="inlineStr">
        <is>
          <t>Increase</t>
        </is>
      </c>
      <c r="E3" s="8" t="inlineStr">
        <is>
          <t>% Change</t>
        </is>
      </c>
      <c r="F3" s="8" t="inlineStr">
        <is>
          <t>How Used in Project</t>
        </is>
      </c>
    </row>
    <row r="4">
      <c r="A4" t="inlineStr">
        <is>
          <t>GIK</t>
        </is>
      </c>
      <c r="B4" s="9" t="n">
        <v>282</v>
      </c>
      <c r="C4" s="9" t="n">
        <v>424</v>
      </c>
      <c r="D4" s="9">
        <f>C4-B4</f>
        <v/>
      </c>
      <c r="E4" s="10">
        <f>IF(B4=0,0,D4/B4)</f>
        <v/>
      </c>
      <c r="F4" t="inlineStr">
        <is>
          <t>Used as the primary high-flow expansion zone from the GIK layout.</t>
        </is>
      </c>
    </row>
    <row r="5">
      <c r="A5" t="inlineStr">
        <is>
          <t>FOOD</t>
        </is>
      </c>
      <c r="B5" s="9" t="n">
        <v>156</v>
      </c>
      <c r="C5" s="9" t="n">
        <v>214</v>
      </c>
      <c r="D5" s="9">
        <f>C5-B5</f>
        <v/>
      </c>
      <c r="E5" s="10">
        <f>IF(B5=0,0,D5/B5)</f>
        <v/>
      </c>
      <c r="F5" t="inlineStr">
        <is>
          <t>Used for food storage redesign with 4-deep push-back plus selective rack.</t>
        </is>
      </c>
    </row>
    <row r="6">
      <c r="A6" t="inlineStr">
        <is>
          <t>GARAGE/KITCHEN</t>
        </is>
      </c>
      <c r="B6" s="9" t="n">
        <v>243</v>
      </c>
      <c r="C6" s="9" t="n">
        <v>294</v>
      </c>
      <c r="D6" s="9">
        <f>C6-B6</f>
        <v/>
      </c>
      <c r="E6" s="10">
        <f>IF(B6=0,0,D6/B6)</f>
        <v/>
      </c>
      <c r="F6" t="inlineStr">
        <is>
          <t>Combined from the Garage/Kitchen layout: garage gains capacity while kitchen trades off capacity for security and flow.</t>
        </is>
      </c>
    </row>
    <row r="7">
      <c r="A7" t="inlineStr">
        <is>
          <t>ADDITIONS</t>
        </is>
      </c>
      <c r="B7" s="9" t="n"/>
      <c r="C7" s="9" t="n"/>
      <c r="D7" s="9" t="n"/>
      <c r="E7" s="10" t="n"/>
      <c r="F7" t="inlineStr">
        <is>
          <t>Used qualitatively to support the push-back expansion concept and flow logic; pallet counts were not stated on the drawing.</t>
        </is>
      </c>
    </row>
    <row r="8">
      <c r="A8" t="inlineStr">
        <is>
          <t>Total Quantified</t>
        </is>
      </c>
      <c r="B8" s="9">
        <f>SUM(B4:B7)</f>
        <v/>
      </c>
      <c r="C8" s="9">
        <f>SUM(C4:C7)</f>
        <v/>
      </c>
      <c r="D8" s="9">
        <f>SUM(D4:D7)</f>
        <v/>
      </c>
      <c r="E8" s="10">
        <f>IF(B8=0,0,D8/B8)</f>
        <v/>
      </c>
      <c r="F8" t="inlineStr">
        <is>
          <t>Quantified total from GIK, FOOD, and GARAGE/KITCHEN. ADDITIONS is included as a layout input, not a quantified pallet count.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4.5"/>
  <cols>
    <col width="20" customWidth="1" style="38" min="1" max="1"/>
    <col width="95" customWidth="1" style="38" min="2" max="2"/>
    <col width="20" customWidth="1" style="38" min="3" max="3"/>
  </cols>
  <sheetData>
    <row r="1" ht="18.5" customHeight="1" s="38">
      <c r="A1" s="23" t="inlineStr">
        <is>
          <t>Layout Integration Summary</t>
        </is>
      </c>
    </row>
    <row r="3">
      <c r="A3" s="24" t="inlineStr">
        <is>
          <t>Layout File</t>
        </is>
      </c>
      <c r="B3" s="24" t="inlineStr">
        <is>
          <t>How It Was Used</t>
        </is>
      </c>
      <c r="C3" s="24" t="inlineStr">
        <is>
          <t>Quantified Impact</t>
        </is>
      </c>
    </row>
    <row r="4">
      <c r="A4" t="inlineStr">
        <is>
          <t>GIK</t>
        </is>
      </c>
      <c r="B4" s="42" t="inlineStr">
        <is>
          <t>Used as the main high-flow redesign zone and capacity expansion area.</t>
        </is>
      </c>
      <c r="C4" t="inlineStr">
        <is>
          <t>+142 pallets</t>
        </is>
      </c>
    </row>
    <row r="5">
      <c r="A5" t="inlineStr">
        <is>
          <t>FOOD</t>
        </is>
      </c>
      <c r="B5" s="42" t="inlineStr">
        <is>
          <t>Used for food storage redesign with push-back and selective rack.</t>
        </is>
      </c>
      <c r="C5" t="inlineStr">
        <is>
          <t>+58 pallets</t>
        </is>
      </c>
    </row>
    <row r="6" ht="29" customHeight="1" s="38">
      <c r="A6" t="inlineStr">
        <is>
          <t>GARAGE/KITCHEN</t>
        </is>
      </c>
      <c r="B6" s="42" t="inlineStr">
        <is>
          <t>Used as a combined redesign source; garage gains capacity while kitchen trades off capacity for security and flow.</t>
        </is>
      </c>
      <c r="C6" t="inlineStr">
        <is>
          <t>+51 pallets net</t>
        </is>
      </c>
    </row>
    <row r="7">
      <c r="A7" t="inlineStr">
        <is>
          <t>ADDITIONS</t>
        </is>
      </c>
      <c r="B7" s="42" t="inlineStr">
        <is>
          <t>Used qualitatively to support the push-back expansion concept and flow logic.</t>
        </is>
      </c>
      <c r="C7" t="inlineStr">
        <is>
          <t>Qualitative only</t>
        </is>
      </c>
    </row>
    <row r="10" ht="29" customHeight="1" s="38">
      <c r="A10" t="inlineStr">
        <is>
          <t>Note</t>
        </is>
      </c>
      <c r="B10" s="42" t="inlineStr">
        <is>
          <t>The workbook now explicitly uses all 4 uploaded layouts. Quantified totals use GIK, FOOD, and GARAGE/KITCHEN because the ADDITIONS drawing did not state pallet counts.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5"/>
  <cols>
    <col width="28" customWidth="1" style="38" min="1" max="2"/>
    <col width="70" customWidth="1" style="38" min="3" max="3"/>
  </cols>
  <sheetData>
    <row r="1" ht="18.5" customHeight="1" s="38">
      <c r="A1" s="23" t="inlineStr">
        <is>
          <t>Cube Measurements and Utilization Logic</t>
        </is>
      </c>
    </row>
    <row r="3">
      <c r="A3" s="25" t="inlineStr">
        <is>
          <t>Measured Dimension</t>
        </is>
      </c>
      <c r="B3" s="25" t="inlineStr">
        <is>
          <t>Value</t>
        </is>
      </c>
      <c r="C3" s="25" t="inlineStr">
        <is>
          <t>How Used in Model</t>
        </is>
      </c>
    </row>
    <row r="4">
      <c r="A4" t="inlineStr">
        <is>
          <t>Height range</t>
        </is>
      </c>
      <c r="B4" t="inlineStr">
        <is>
          <t>5'3" to 6'1"</t>
        </is>
      </c>
      <c r="C4" s="42" t="inlineStr">
        <is>
          <t>Used to justify the average working cube height in the slotting model.</t>
        </is>
      </c>
    </row>
    <row r="5">
      <c r="A5" t="inlineStr">
        <is>
          <t>Width</t>
        </is>
      </c>
      <c r="B5" t="inlineStr">
        <is>
          <t>40"</t>
        </is>
      </c>
      <c r="C5" s="42" t="inlineStr">
        <is>
          <t>Used directly in cube volume calculation.</t>
        </is>
      </c>
    </row>
    <row r="6">
      <c r="A6" t="inlineStr">
        <is>
          <t>Depth</t>
        </is>
      </c>
      <c r="B6" t="inlineStr">
        <is>
          <t>48"</t>
        </is>
      </c>
      <c r="C6" s="42" t="inlineStr">
        <is>
          <t>Used directly in cube volume calculation.</t>
        </is>
      </c>
    </row>
    <row r="7">
      <c r="A7" t="inlineStr">
        <is>
          <t>Average working height</t>
        </is>
      </c>
      <c r="B7" t="inlineStr">
        <is>
          <t>5.67 ft</t>
        </is>
      </c>
      <c r="C7" s="42" t="inlineStr">
        <is>
          <t>Used for default cube-volume calculations across storage locations.</t>
        </is>
      </c>
    </row>
    <row r="8">
      <c r="A8" t="inlineStr">
        <is>
          <t>Approx. cube volume range</t>
        </is>
      </c>
      <c r="B8" t="inlineStr">
        <is>
          <t>69.9 to 81.0 ft³</t>
        </is>
      </c>
      <c r="C8" s="42" t="inlineStr">
        <is>
          <t>Used to validate physical feasibility and cube utilization.</t>
        </is>
      </c>
    </row>
    <row r="11" ht="29" customHeight="1" s="38">
      <c r="A11" t="inlineStr">
        <is>
          <t>Model Rule</t>
        </is>
      </c>
      <c r="B11" t="inlineStr">
        <is>
          <t>Priority-based + Fit-based</t>
        </is>
      </c>
      <c r="C11" s="42" t="inlineStr">
        <is>
          <t>Recommended storage now depends on both business priority (usage, flow, quantity) and physical fit within the cube.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4.5"/>
  <cols>
    <col width="24" customWidth="1" style="38" min="1" max="1"/>
    <col width="18" customWidth="1" style="38" min="2" max="8"/>
    <col width="42" customWidth="1" style="38" min="9" max="9"/>
  </cols>
  <sheetData>
    <row r="1" ht="18.5" customHeight="1" s="38">
      <c r="A1" s="41" t="inlineStr">
        <is>
          <t>Rack Location Map (Final Corrected)</t>
        </is>
      </c>
    </row>
    <row r="3">
      <c r="A3" s="25" t="inlineStr">
        <is>
          <t>Level</t>
        </is>
      </c>
      <c r="B3" s="25" t="inlineStr">
        <is>
          <t>Bay 1</t>
        </is>
      </c>
      <c r="C3" s="25" t="inlineStr">
        <is>
          <t>Bay 2</t>
        </is>
      </c>
      <c r="D3" s="25" t="inlineStr">
        <is>
          <t>Bay 3</t>
        </is>
      </c>
      <c r="E3" s="25" t="inlineStr">
        <is>
          <t>Cube_Height_ft</t>
        </is>
      </c>
      <c r="F3" s="25" t="inlineStr">
        <is>
          <t>Cube_Width_in</t>
        </is>
      </c>
      <c r="G3" s="25" t="inlineStr">
        <is>
          <t>Cube_Depth_in</t>
        </is>
      </c>
      <c r="H3" s="25" t="inlineStr">
        <is>
          <t>Cube_Volume_ft3</t>
        </is>
      </c>
      <c r="I3" s="25" t="inlineStr">
        <is>
          <t>Priority_Rule</t>
        </is>
      </c>
    </row>
    <row r="4">
      <c r="A4" s="15" t="inlineStr">
        <is>
          <t>A</t>
        </is>
      </c>
      <c r="B4" s="15" t="inlineStr">
        <is>
          <t>A1-Front</t>
        </is>
      </c>
      <c r="C4" s="15" t="inlineStr">
        <is>
          <t>A2-Middle</t>
        </is>
      </c>
      <c r="D4" s="15" t="inlineStr">
        <is>
          <t>A3-Back</t>
        </is>
      </c>
      <c r="E4">
        <f>Controls!$B$22</f>
        <v/>
      </c>
      <c r="F4">
        <f>Controls!$B$20</f>
        <v/>
      </c>
      <c r="G4">
        <f>Controls!$B$21</f>
        <v/>
      </c>
      <c r="H4">
        <f>ROUND(E4*(F4/12)*(G4/12),2)</f>
        <v/>
      </c>
      <c r="I4" s="26" t="inlineStr">
        <is>
          <t>High-priority / fast-access / heavier items</t>
        </is>
      </c>
    </row>
    <row r="5">
      <c r="A5" s="16" t="inlineStr">
        <is>
          <t>B</t>
        </is>
      </c>
      <c r="B5" s="16" t="inlineStr">
        <is>
          <t>B1-Front</t>
        </is>
      </c>
      <c r="C5" s="16" t="inlineStr">
        <is>
          <t>B2-Middle</t>
        </is>
      </c>
      <c r="D5" s="16" t="inlineStr">
        <is>
          <t>B3-Back</t>
        </is>
      </c>
      <c r="E5">
        <f>Controls!$B$22</f>
        <v/>
      </c>
      <c r="F5">
        <f>Controls!$B$20</f>
        <v/>
      </c>
      <c r="G5">
        <f>Controls!$B$21</f>
        <v/>
      </c>
      <c r="H5">
        <f>ROUND(E5*(F5/12)*(G5/12),2)</f>
        <v/>
      </c>
      <c r="I5" s="26" t="inlineStr">
        <is>
          <t>Medium-priority items</t>
        </is>
      </c>
    </row>
    <row r="6">
      <c r="A6" s="17" t="inlineStr">
        <is>
          <t>C</t>
        </is>
      </c>
      <c r="B6" s="17" t="inlineStr">
        <is>
          <t>C1-Front</t>
        </is>
      </c>
      <c r="C6" s="17" t="inlineStr">
        <is>
          <t>C2-Middle</t>
        </is>
      </c>
      <c r="D6" s="17" t="inlineStr">
        <is>
          <t>C3-Back</t>
        </is>
      </c>
      <c r="E6">
        <f>Controls!$B$22</f>
        <v/>
      </c>
      <c r="F6">
        <f>Controls!$B$20</f>
        <v/>
      </c>
      <c r="G6">
        <f>Controls!$B$21</f>
        <v/>
      </c>
      <c r="H6">
        <f>ROUND(E6*(F6/12)*(G6/12),2)</f>
        <v/>
      </c>
      <c r="I6" s="26" t="inlineStr">
        <is>
          <t>Low-priority / reserve / overflow</t>
        </is>
      </c>
    </row>
    <row r="8" ht="15.5" customHeight="1" s="38">
      <c r="A8" s="30" t="inlineStr">
        <is>
          <t>Location Logic</t>
        </is>
      </c>
    </row>
    <row r="9" ht="29" customHeight="1" s="38">
      <c r="A9" s="42" t="inlineStr">
        <is>
          <t>A-level = High-priority / fast-access / heavier items</t>
        </is>
      </c>
    </row>
    <row r="10" ht="29" customHeight="1" s="38">
      <c r="A10" s="42" t="inlineStr">
        <is>
          <t>B-level = Medium-priority / standard access</t>
        </is>
      </c>
    </row>
    <row r="11" ht="29" customHeight="1" s="38">
      <c r="A11" s="42" t="inlineStr">
        <is>
          <t>C-level = Low-priority / reserve / overflow</t>
        </is>
      </c>
    </row>
    <row r="12" ht="58" customHeight="1" s="38">
      <c r="A12" s="42" t="inlineStr">
        <is>
          <t>Front = fastest access, Middle = balanced access, Back = reserve / deeper storage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4.5"/>
  <cols>
    <col width="16" customWidth="1" style="38" min="1" max="1"/>
    <col width="12" customWidth="1" style="38" min="2" max="2"/>
    <col width="16" customWidth="1" style="38" min="4" max="4"/>
    <col width="12" customWidth="1" style="38" min="5" max="5"/>
    <col width="24" customWidth="1" style="38" min="7" max="9"/>
    <col width="52" customWidth="1" style="38" min="10" max="10"/>
    <col width="26" customWidth="1" style="38" min="12" max="13"/>
    <col width="58" customWidth="1" style="38" min="14" max="14"/>
  </cols>
  <sheetData>
    <row r="1" ht="18.5" customHeight="1" s="38">
      <c r="A1" s="37" t="inlineStr">
        <is>
          <t>Lookup Tables</t>
        </is>
      </c>
      <c r="G1" s="40" t="inlineStr">
        <is>
          <t>Item Type Volume Assumptions</t>
        </is>
      </c>
      <c r="L1" s="40" t="inlineStr">
        <is>
          <t>Preferred Area Map</t>
        </is>
      </c>
    </row>
    <row r="3">
      <c r="A3" s="8" t="inlineStr">
        <is>
          <t>Item Type</t>
        </is>
      </c>
      <c r="B3" s="8" t="inlineStr">
        <is>
          <t>Weight</t>
        </is>
      </c>
      <c r="D3" s="8" t="inlineStr">
        <is>
          <t>Frequency</t>
        </is>
      </c>
      <c r="E3" s="8" t="inlineStr">
        <is>
          <t>Score</t>
        </is>
      </c>
      <c r="G3" s="27" t="inlineStr">
        <is>
          <t>Item_Type</t>
        </is>
      </c>
      <c r="H3" s="27" t="inlineStr">
        <is>
          <t>Required_Volume_ft3</t>
        </is>
      </c>
      <c r="I3" s="27" t="inlineStr">
        <is>
          <t>Fit Rule</t>
        </is>
      </c>
      <c r="J3" s="27" t="inlineStr">
        <is>
          <t>Rationale</t>
        </is>
      </c>
      <c r="L3" s="27" t="inlineStr">
        <is>
          <t>Item</t>
        </is>
      </c>
      <c r="M3" s="27" t="inlineStr">
        <is>
          <t>Preferred_Area</t>
        </is>
      </c>
      <c r="N3" s="27" t="inlineStr">
        <is>
          <t>Why</t>
        </is>
      </c>
    </row>
    <row r="4" ht="29" customHeight="1" s="38">
      <c r="A4" t="inlineStr">
        <is>
          <t>Bulk</t>
        </is>
      </c>
      <c r="B4" t="n">
        <v>5</v>
      </c>
      <c r="D4" t="inlineStr">
        <is>
          <t>Daily</t>
        </is>
      </c>
      <c r="E4" t="n">
        <v>5</v>
      </c>
      <c r="G4" t="inlineStr">
        <is>
          <t>Bulk</t>
        </is>
      </c>
      <c r="H4" t="n">
        <v>72</v>
      </c>
      <c r="I4" t="inlineStr">
        <is>
          <t>Needs lower level if held qty is high</t>
        </is>
      </c>
      <c r="J4" s="42" t="inlineStr">
        <is>
          <t>Bulk items like water use more cube space and are heavier.</t>
        </is>
      </c>
      <c r="L4" t="inlineStr">
        <is>
          <t>Water</t>
        </is>
      </c>
      <c r="M4" t="inlineStr">
        <is>
          <t>GIK</t>
        </is>
      </c>
      <c r="N4" s="42" t="inlineStr">
        <is>
          <t>High-volume bulk, strong fit for lower-level high-flow expansion zone.</t>
        </is>
      </c>
    </row>
    <row r="5">
      <c r="A5" t="inlineStr">
        <is>
          <t>Food</t>
        </is>
      </c>
      <c r="B5" t="n">
        <v>4</v>
      </c>
      <c r="D5" t="inlineStr">
        <is>
          <t>Weekly</t>
        </is>
      </c>
      <c r="E5" t="n">
        <v>4</v>
      </c>
      <c r="G5" t="inlineStr">
        <is>
          <t>Food</t>
        </is>
      </c>
      <c r="H5" t="n">
        <v>35</v>
      </c>
      <c r="I5" t="inlineStr">
        <is>
          <t>Standard cube fit</t>
        </is>
      </c>
      <c r="J5" s="42" t="inlineStr">
        <is>
          <t>Most dry/canned food items fit within a standard cube.</t>
        </is>
      </c>
      <c r="L5" t="inlineStr">
        <is>
          <t>Peanut Butter</t>
        </is>
      </c>
      <c r="M5" t="inlineStr">
        <is>
          <t>GIK</t>
        </is>
      </c>
      <c r="N5" s="42" t="inlineStr">
        <is>
          <t>Bulk-like pantry staple with high inbound frequency.</t>
        </is>
      </c>
    </row>
    <row r="6" ht="29" customHeight="1" s="38">
      <c r="A6" t="inlineStr">
        <is>
          <t>Meat</t>
        </is>
      </c>
      <c r="B6" t="n">
        <v>4</v>
      </c>
      <c r="D6" t="inlineStr">
        <is>
          <t>Biweekly</t>
        </is>
      </c>
      <c r="E6" t="n">
        <v>3</v>
      </c>
      <c r="G6" t="inlineStr">
        <is>
          <t>Meat</t>
        </is>
      </c>
      <c r="H6" t="n">
        <v>48</v>
      </c>
      <c r="I6" t="inlineStr">
        <is>
          <t>Cold-chain / handling sensitive</t>
        </is>
      </c>
      <c r="J6" s="42" t="inlineStr">
        <is>
          <t>Protein/meat items need more buffer and handling allowance.</t>
        </is>
      </c>
      <c r="L6" t="inlineStr">
        <is>
          <t>Chicken Leg Quarters</t>
        </is>
      </c>
      <c r="M6" t="inlineStr">
        <is>
          <t>GIK</t>
        </is>
      </c>
      <c r="N6" s="42" t="inlineStr">
        <is>
          <t>High-flow protein item needing fast access.</t>
        </is>
      </c>
    </row>
    <row r="7" ht="29" customHeight="1" s="38">
      <c r="A7" t="inlineStr">
        <is>
          <t>Fragile</t>
        </is>
      </c>
      <c r="B7" t="n">
        <v>3</v>
      </c>
      <c r="D7" t="inlineStr">
        <is>
          <t>4x/Week</t>
        </is>
      </c>
      <c r="E7" t="n">
        <v>4.5</v>
      </c>
      <c r="G7" t="inlineStr">
        <is>
          <t>Fragile</t>
        </is>
      </c>
      <c r="H7" t="n">
        <v>28</v>
      </c>
      <c r="I7" t="inlineStr">
        <is>
          <t>Avoid deep/back where possible</t>
        </is>
      </c>
      <c r="J7" s="42" t="inlineStr">
        <is>
          <t>Fragile items should not be forced into tight/deep locations.</t>
        </is>
      </c>
      <c r="L7" t="inlineStr">
        <is>
          <t>Ground Beef</t>
        </is>
      </c>
      <c r="M7" t="inlineStr">
        <is>
          <t>ADDITIONS</t>
        </is>
      </c>
      <c r="N7" s="42" t="inlineStr">
        <is>
          <t>Very high volume; use overflow push-back concept supported by additions layout.</t>
        </is>
      </c>
    </row>
    <row r="8">
      <c r="A8" t="inlineStr">
        <is>
          <t>Other</t>
        </is>
      </c>
      <c r="B8" t="n">
        <v>3</v>
      </c>
      <c r="D8" t="inlineStr">
        <is>
          <t>Biweekly</t>
        </is>
      </c>
      <c r="E8" t="n">
        <v>3</v>
      </c>
      <c r="L8" t="inlineStr">
        <is>
          <t>Tuna</t>
        </is>
      </c>
      <c r="M8" t="inlineStr">
        <is>
          <t>FOOD</t>
        </is>
      </c>
      <c r="N8" s="42" t="inlineStr">
        <is>
          <t>Fast-moving food staple; should stay in primary food zone.</t>
        </is>
      </c>
    </row>
    <row r="9">
      <c r="D9" t="inlineStr">
        <is>
          <t>Weekly</t>
        </is>
      </c>
      <c r="E9" t="n">
        <v>4</v>
      </c>
      <c r="L9" t="inlineStr">
        <is>
          <t>Rice</t>
        </is>
      </c>
      <c r="M9" t="inlineStr">
        <is>
          <t>FOOD</t>
        </is>
      </c>
      <c r="N9" s="42" t="inlineStr">
        <is>
          <t>Core staple suited to food zone.</t>
        </is>
      </c>
    </row>
    <row r="10">
      <c r="D10" t="inlineStr">
        <is>
          <t>Monthly</t>
        </is>
      </c>
      <c r="E10" t="n">
        <v>2</v>
      </c>
      <c r="L10" t="inlineStr">
        <is>
          <t>Black Beans</t>
        </is>
      </c>
      <c r="M10" t="inlineStr">
        <is>
          <t>FOOD</t>
        </is>
      </c>
      <c r="N10" s="42" t="inlineStr">
        <is>
          <t>Core staple suited to food zone.</t>
        </is>
      </c>
    </row>
    <row r="11">
      <c r="D11" t="inlineStr">
        <is>
          <t>Ad Hoc</t>
        </is>
      </c>
      <c r="E11" t="n">
        <v>1</v>
      </c>
      <c r="L11" t="inlineStr">
        <is>
          <t>Pasta Sauce</t>
        </is>
      </c>
      <c r="M11" t="inlineStr">
        <is>
          <t>FOOD</t>
        </is>
      </c>
      <c r="N11" s="42" t="inlineStr">
        <is>
          <t>Food zone standard-access item.</t>
        </is>
      </c>
    </row>
    <row r="12">
      <c r="L12" t="inlineStr">
        <is>
          <t>Oats</t>
        </is>
      </c>
      <c r="M12" t="inlineStr">
        <is>
          <t>GARAGE/KITCHEN</t>
        </is>
      </c>
      <c r="N12" s="42" t="inlineStr">
        <is>
          <t>Medium-priority food; can use reserve/support storage.</t>
        </is>
      </c>
    </row>
    <row r="13">
      <c r="L13" t="inlineStr">
        <is>
          <t>Pancake Mix</t>
        </is>
      </c>
      <c r="M13" t="inlineStr">
        <is>
          <t>GARAGE/KITCHEN</t>
        </is>
      </c>
      <c r="N13" s="42" t="inlineStr">
        <is>
          <t>Medium-priority food; can use support storage.</t>
        </is>
      </c>
    </row>
    <row r="14">
      <c r="L14" t="inlineStr">
        <is>
          <t>Peaches</t>
        </is>
      </c>
      <c r="M14" t="inlineStr">
        <is>
          <t>GARAGE/KITCHEN</t>
        </is>
      </c>
      <c r="N14" s="42" t="inlineStr">
        <is>
          <t>Lower-priority reserve/support placement.</t>
        </is>
      </c>
    </row>
    <row r="15">
      <c r="L15" t="inlineStr">
        <is>
          <t>Chili - Beef</t>
        </is>
      </c>
      <c r="M15" t="inlineStr">
        <is>
          <t>FOOD</t>
        </is>
      </c>
      <c r="N15" s="42" t="inlineStr">
        <is>
          <t>High-demand food entrée item.</t>
        </is>
      </c>
    </row>
    <row r="16">
      <c r="L16" t="inlineStr">
        <is>
          <t>Mixed Vegetables</t>
        </is>
      </c>
      <c r="M16" t="inlineStr">
        <is>
          <t>GARAGE/KITCHEN</t>
        </is>
      </c>
      <c r="N16" s="42" t="inlineStr">
        <is>
          <t>Reserve/support storage is acceptable.</t>
        </is>
      </c>
    </row>
    <row r="17">
      <c r="L17" t="inlineStr">
        <is>
          <t>Green Beans</t>
        </is>
      </c>
      <c r="M17" t="inlineStr">
        <is>
          <t>FOOD</t>
        </is>
      </c>
      <c r="N17" s="42" t="inlineStr">
        <is>
          <t>Food zone staple item.</t>
        </is>
      </c>
    </row>
    <row r="18">
      <c r="L18" t="inlineStr">
        <is>
          <t>Macaroni in Tomato Sauce</t>
        </is>
      </c>
      <c r="M18" t="inlineStr">
        <is>
          <t>FOOD</t>
        </is>
      </c>
      <c r="N18" s="42" t="inlineStr">
        <is>
          <t>High-usage entrée item in primary food area.</t>
        </is>
      </c>
    </row>
  </sheetData>
  <mergeCells count="3">
    <mergeCell ref="L1:N1"/>
    <mergeCell ref="A1:E1"/>
    <mergeCell ref="G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2"/>
  <sheetViews>
    <sheetView showGridLines="0" workbookViewId="0">
      <pane ySplit="3" topLeftCell="A4" activePane="bottomLeft" state="frozen"/>
      <selection pane="bottomLeft" activeCell="F16" sqref="F16"/>
    </sheetView>
  </sheetViews>
  <sheetFormatPr baseColWidth="8" defaultRowHeight="14.5"/>
  <cols>
    <col width="20" customWidth="1" style="38" min="1" max="1"/>
    <col width="16" customWidth="1" style="38" min="2" max="2"/>
    <col width="14" customWidth="1" style="38" min="3" max="3"/>
    <col width="12" customWidth="1" style="38" min="4" max="4"/>
    <col width="14" customWidth="1" style="38" min="5" max="5"/>
    <col width="12" customWidth="1" style="38" min="6" max="7"/>
    <col width="14" customWidth="1" style="38" min="8" max="9"/>
    <col width="18" customWidth="1" style="38" min="10" max="10"/>
    <col width="14" customWidth="1" style="38" min="11" max="11"/>
    <col width="13" customWidth="1" style="38" min="12" max="13"/>
    <col width="14" customWidth="1" style="38" min="14" max="14"/>
    <col width="20" customWidth="1" style="38" min="15" max="15"/>
    <col width="12" customWidth="1" style="38" min="16" max="16"/>
    <col width="14" customWidth="1" style="38" min="17" max="17"/>
    <col width="22" customWidth="1" style="38" min="18" max="18"/>
    <col width="16" customWidth="1" style="38" min="19" max="19"/>
    <col width="14" customWidth="1" style="38" min="20" max="20"/>
    <col width="16" customWidth="1" style="38" min="21" max="21"/>
    <col width="14" customWidth="1" style="38" min="22" max="22"/>
    <col width="16" customWidth="1" style="38" min="23" max="24"/>
    <col width="18" customWidth="1" style="38" min="25" max="25"/>
    <col width="16" customWidth="1" style="38" min="26" max="26"/>
    <col width="18" customWidth="1" style="38" min="27" max="27"/>
    <col width="48" customWidth="1" style="38" min="29" max="29"/>
    <col width="14" customWidth="1" style="38" min="30" max="30"/>
    <col width="55" customWidth="1" style="38" min="31" max="31"/>
    <col width="18" customWidth="1" style="38" min="32" max="35"/>
    <col width="46" customWidth="1" style="38" min="36" max="36"/>
    <col width="14" customWidth="1" style="38" min="37" max="37"/>
    <col width="28" customWidth="1" style="38" min="38" max="38"/>
    <col width="48" customWidth="1" style="38" min="39" max="39"/>
  </cols>
  <sheetData>
    <row r="1" ht="18.5" customHeight="1" s="38">
      <c r="A1" s="41" t="inlineStr">
        <is>
          <t>Slotting Model (Hybrid Logic Applied)</t>
        </is>
      </c>
    </row>
    <row r="2">
      <c r="A2" s="42" t="inlineStr">
        <is>
          <t>Hybrid ranking order used in this workbook: A1 → B1 → C1 → A2 → B2 → A3 → B3 → C2 → C3</t>
        </is>
      </c>
    </row>
    <row r="3" ht="29" customHeight="1" s="38">
      <c r="A3" s="25" t="inlineStr">
        <is>
          <t>Item</t>
        </is>
      </c>
      <c r="B3" s="25" t="inlineStr">
        <is>
          <t>Category</t>
        </is>
      </c>
      <c r="C3" s="25" t="inlineStr">
        <is>
          <t>Item_Type</t>
        </is>
      </c>
      <c r="D3" s="25" t="inlineStr">
        <is>
          <t>Usage_Rate</t>
        </is>
      </c>
      <c r="E3" s="25" t="inlineStr">
        <is>
          <t>Qty_Received</t>
        </is>
      </c>
      <c r="F3" s="25" t="inlineStr">
        <is>
          <t>Qty_Held</t>
        </is>
      </c>
      <c r="G3" s="25" t="inlineStr">
        <is>
          <t>Flow_Priority</t>
        </is>
      </c>
      <c r="H3" s="25" t="inlineStr">
        <is>
          <t>Inbound_Freq</t>
        </is>
      </c>
      <c r="I3" s="25" t="inlineStr">
        <is>
          <t>Outbound_Freq</t>
        </is>
      </c>
      <c r="J3" s="25" t="inlineStr">
        <is>
          <t>Current_Location</t>
        </is>
      </c>
      <c r="K3" s="25" t="inlineStr">
        <is>
          <t>Cube_Height_ft</t>
        </is>
      </c>
      <c r="L3" s="25" t="inlineStr">
        <is>
          <t>Cube_Width_in</t>
        </is>
      </c>
      <c r="M3" s="25" t="inlineStr">
        <is>
          <t>Cube_Depth_in</t>
        </is>
      </c>
      <c r="N3" s="25" t="inlineStr">
        <is>
          <t>Cube_Volume_ft3</t>
        </is>
      </c>
      <c r="O3" s="25" t="inlineStr">
        <is>
          <t>Item_Required_Volume_ft3</t>
        </is>
      </c>
      <c r="P3" s="25" t="inlineStr">
        <is>
          <t>Fit_Check</t>
        </is>
      </c>
      <c r="Q3" s="25" t="inlineStr">
        <is>
          <t>Cube_Utilization_%</t>
        </is>
      </c>
      <c r="R3" s="25" t="inlineStr">
        <is>
          <t>Prelim_Recommendation</t>
        </is>
      </c>
      <c r="S3" s="25" t="inlineStr">
        <is>
          <t>Qty_Received_Score</t>
        </is>
      </c>
      <c r="T3" s="25" t="inlineStr">
        <is>
          <t>Qty_Held_Score</t>
        </is>
      </c>
      <c r="U3" s="25" t="inlineStr">
        <is>
          <t>ItemType_Weight</t>
        </is>
      </c>
      <c r="V3" s="25" t="inlineStr">
        <is>
          <t>Inbound_Score</t>
        </is>
      </c>
      <c r="W3" s="25" t="inlineStr">
        <is>
          <t>Outbound_Score</t>
        </is>
      </c>
      <c r="X3" s="25" t="inlineStr">
        <is>
          <t>Storage_Priority_Score</t>
        </is>
      </c>
      <c r="Y3" s="25" t="inlineStr">
        <is>
          <t>Recommended_Level</t>
        </is>
      </c>
      <c r="Z3" s="25" t="inlineStr">
        <is>
          <t>Recommended_Bay</t>
        </is>
      </c>
      <c r="AA3" s="25" t="inlineStr">
        <is>
          <t>Recommended_Depth</t>
        </is>
      </c>
      <c r="AB3" s="29" t="inlineStr">
        <is>
          <t>Final_Recommended_Location</t>
        </is>
      </c>
      <c r="AC3" s="29" t="inlineStr">
        <is>
          <t>Reason</t>
        </is>
      </c>
      <c r="AD3" s="27" t="inlineStr">
        <is>
          <t>Bulk_Flag</t>
        </is>
      </c>
      <c r="AE3" s="27" t="inlineStr">
        <is>
          <t>Model_Note</t>
        </is>
      </c>
      <c r="AF3" s="45" t="inlineStr">
        <is>
          <t>Priority_Rank</t>
        </is>
      </c>
      <c r="AG3" s="27" t="inlineStr">
        <is>
          <t>Preferred_Area</t>
        </is>
      </c>
      <c r="AH3" s="45" t="inlineStr">
        <is>
          <t>Capacity_Bucket</t>
        </is>
      </c>
      <c r="AI3" s="27" t="inlineStr">
        <is>
          <t>Capacity_Constrained_Location</t>
        </is>
      </c>
      <c r="AJ3" s="27" t="inlineStr">
        <is>
          <t>Implementation_Action</t>
        </is>
      </c>
      <c r="AK3" s="45" t="inlineStr">
        <is>
          <t>Bucket_Rank_By_Score</t>
        </is>
      </c>
      <c r="AL3" s="27" t="inlineStr">
        <is>
          <t>Depth_Optimized_Location</t>
        </is>
      </c>
      <c r="AM3" s="27" t="inlineStr">
        <is>
          <t>Depth_Optimization_Note</t>
        </is>
      </c>
      <c r="AN3" s="45" t="inlineStr">
        <is>
          <t>Hybrid_Order_Index</t>
        </is>
      </c>
      <c r="AO3" s="45" t="inlineStr">
        <is>
          <t>Hybrid_Location</t>
        </is>
      </c>
      <c r="AP3" s="45" t="inlineStr">
        <is>
          <t>Hybrid_Reason</t>
        </is>
      </c>
    </row>
    <row r="4">
      <c r="A4" t="inlineStr">
        <is>
          <t>Water</t>
        </is>
      </c>
      <c r="B4" t="inlineStr">
        <is>
          <t>Water</t>
        </is>
      </c>
      <c r="C4" t="inlineStr">
        <is>
          <t>Bulk</t>
        </is>
      </c>
      <c r="D4" s="18" t="n">
        <v>5</v>
      </c>
      <c r="E4" s="18" t="n">
        <v>960</v>
      </c>
      <c r="F4" s="18" t="n">
        <v>1500</v>
      </c>
      <c r="G4" s="18" t="n">
        <v>5</v>
      </c>
      <c r="H4" t="inlineStr">
        <is>
          <t>Weekly</t>
        </is>
      </c>
      <c r="I4" t="inlineStr">
        <is>
          <t>Daily</t>
        </is>
      </c>
      <c r="J4" t="inlineStr">
        <is>
          <t>B2-Back</t>
        </is>
      </c>
      <c r="K4">
        <f>Controls!$B$22</f>
        <v/>
      </c>
      <c r="L4">
        <f>Controls!$B$20</f>
        <v/>
      </c>
      <c r="M4">
        <f>Controls!$B$21</f>
        <v/>
      </c>
      <c r="N4">
        <f>ROUND(K4*(L4/12)*(M4/12),2)</f>
        <v/>
      </c>
      <c r="O4">
        <f>IFERROR(VLOOKUP(C4,Lookup_Tables!$G$4:$H$7,2,FALSE),35)</f>
        <v/>
      </c>
      <c r="P4">
        <f>IF(O4&lt;=N4,"Fits","Review")</f>
        <v/>
      </c>
      <c r="Q4">
        <f>ROUND(O4/N4,3)</f>
        <v/>
      </c>
      <c r="R4">
        <f>Y4&amp;Z4&amp;"-"&amp;AA4</f>
        <v/>
      </c>
      <c r="S4" s="9">
        <f>IF(E4&gt;=1000,5,IF(E4&gt;=500,4,IF(E4&gt;=250,3,IF(E4&gt;=100,2,1))))</f>
        <v/>
      </c>
      <c r="T4" s="9">
        <f>IF(F4&gt;=1000,5,IF(F4&gt;=500,4,IF(F4&gt;=250,3,IF(F4&gt;=100,2,1))))</f>
        <v/>
      </c>
      <c r="U4" s="9">
        <f>IFERROR(VLOOKUP(C4,Lookup_Tables!$A$4:$B$8,2,FALSE),3)</f>
        <v/>
      </c>
      <c r="V4" s="9">
        <f>IFERROR(VLOOKUP(H4,Lookup_Tables!$D$4:$E$11,2,FALSE),2)</f>
        <v/>
      </c>
      <c r="W4" s="9">
        <f>IFERROR(VLOOKUP(I4,Lookup_Tables!$D$4:$E$11,2,FALSE),2)</f>
        <v/>
      </c>
      <c r="X4" s="13">
        <f>ROUND((D4*Controls!$B$4)+(G4*Controls!$B$5)+(S4*Controls!$B$6)+(T4*Controls!$B$7)+(U4*Controls!$B$8)+(MAX(V4,W4)*Controls!$B$9),2)</f>
        <v/>
      </c>
      <c r="Y4">
        <f>IF(AD4="Bulk","A",IF(X4&gt;=Controls!$B$10,"A",IF(X4&gt;=Controls!$B$11,"B","C")))</f>
        <v/>
      </c>
      <c r="Z4" s="9">
        <f>IF(OR(D4&gt;=4,G4&gt;=4),1,IF(X4&gt;=Controls!$B$11,2,3))</f>
        <v/>
      </c>
      <c r="AA4">
        <f>IF(OR(D4&gt;=4,G4&gt;=4),"Front",IF(X4&gt;=Controls!$B$11,"Middle","Back"))</f>
        <v/>
      </c>
      <c r="AB4">
        <f>IF(P4="Fits",R4,"Manual Review")</f>
        <v/>
      </c>
      <c r="AC4">
        <f>IF(AD4="Bulk","Bulk / heavy item -&gt; lower level priority",IF(P4&lt;&gt;"Fits","Review cube fit before assigning location",IF(AND(D4&gt;=4,G4&gt;=4),"High usage + high flow -&gt; front-access priority",IF(X4&gt;=Controls!$B$11,"Medium priority item -&gt; standard access","Low priority / reserve storage"))))</f>
        <v/>
      </c>
      <c r="AD4">
        <f>IF(OR(C4="Bulk",F4&gt;=Controls!$B$12),"Bulk","Non-Bulk")</f>
        <v/>
      </c>
      <c r="AE4" t="inlineStr">
        <is>
          <t>High-volume bulk item; lower-level fast-access rule applies.</t>
        </is>
      </c>
      <c r="AF4">
        <f>RANK(X4,$X$4:$X$18,0)+COUNTIF($X$4:X4,X4)-1</f>
        <v/>
      </c>
      <c r="AG4">
        <f>IFERROR(VLOOKUP(A4,Lookup_Tables!$L$4:$M$18,2,FALSE),"FOOD")</f>
        <v/>
      </c>
      <c r="AH4">
        <f>IF(AF4&lt;=5,"Premium",IF(AF4&lt;=11,"Standard","Reserve"))</f>
        <v/>
      </c>
      <c r="AI4">
        <f>IF(AH4="Premium",IF(AG4="GIK","GIK-A"&amp;MOD(AF4-1,3)+1&amp;"-Front",IF(AG4="FOOD","FOOD-A"&amp;MOD(AF4-1,3)+1&amp;"-Front",IF(AG4="ADDITIONS","ADD-A"&amp;MOD(AF4-1,2)+1&amp;"-Front","GAR-A"&amp;MOD(AF4-1,2)+1&amp;"-Front"))),IF(AH4="Standard",IF(AG4="GIK","GIK-B"&amp;MOD(AF4-1,3)+1&amp;"-Middle",IF(AG4="FOOD","FOOD-B"&amp;MOD(AF4-1,3)+1&amp;"-Middle",IF(AG4="ADDITIONS","ADD-B"&amp;MOD(AF4-1,2)+1&amp;"-Middle","GAR-B"&amp;MOD(AF4-1,2)+1&amp;"-Middle"))),IF(AG4="GIK","GIK-C"&amp;MOD(AF4-1,3)+1&amp;"-Back",IF(AG4="FOOD","FOOD-C"&amp;MOD(AF4-1,3)+1&amp;"-Back",IF(AG4="ADDITIONS","ADD-C"&amp;MOD(AF4-1,2)+1&amp;"-Back","GAR-C"&amp;MOD(AF4-1,2)+1&amp;"-Back")))))</f>
        <v/>
      </c>
      <c r="AJ4">
        <f>IF(J4=AI4,"Keep in place",IF(LEFT(J4,3)=LEFT(AI4,3),"Re-slot within same zone","Move to "&amp;AG4&amp;" based on flow, capacity, and layout logic"))</f>
        <v/>
      </c>
      <c r="AK4">
        <f>IF(AH4="Premium",AF4,IF(AH4="Standard",AF4-5,AF4-11))</f>
        <v/>
      </c>
      <c r="AL4">
        <f>IF(AH4="Premium",AG4&amp;"-A"&amp;MOD(AK4-1,3)+1&amp;"-Front",IF(AH4="Standard",AG4&amp;"-B"&amp;MOD(AK4-1,3)+1&amp;"-Middle",AG4&amp;"-C"&amp;MOD(AK4-1,3)+1&amp;"-Back"))</f>
        <v/>
      </c>
      <c r="AM4">
        <f>IF(AH4="Premium","Premium item distributed across A1/A2/A3 by rank to avoid overloading one slot",IF(AH4="Standard","Standard item distributed across B1/B2/B3 by rank","Reserve item distributed across C1/C2/C3 by rank"))</f>
        <v/>
      </c>
      <c r="AN4">
        <f>MOD(AK4-1,9)+1</f>
        <v/>
      </c>
      <c r="AO4">
        <f>IF(AN4=1,AG4&amp;"-A1-Front",IF(AN4=2,AG4&amp;"-B1-Front",IF(AN4=3,AG4&amp;"-C1-Front",IF(AN4=4,AG4&amp;"-A2-Middle",IF(AN4=5,AG4&amp;"-B2-Middle",IF(AN4=6,AG4&amp;"-A3-Back",IF(AN4=7,AG4&amp;"-B3-Back",IF(AN4=8,AG4&amp;"-C2-Middle",AG4&amp;"-C3-Back"))))))))</f>
        <v/>
      </c>
      <c r="AP4">
        <f>IF(AH4="Premium","Premium item positioned by score rank within premium bucket",IF(AH4="Standard","Standard item positioned by score rank within standard bucket","Reserve item positioned by score rank within reserve bucket"))</f>
        <v/>
      </c>
    </row>
    <row r="5">
      <c r="A5" t="inlineStr">
        <is>
          <t>Tuna</t>
        </is>
      </c>
      <c r="B5" t="inlineStr">
        <is>
          <t>Food</t>
        </is>
      </c>
      <c r="C5" t="inlineStr">
        <is>
          <t>Food</t>
        </is>
      </c>
      <c r="D5" s="18" t="n">
        <v>5</v>
      </c>
      <c r="E5" s="18" t="n">
        <v>126</v>
      </c>
      <c r="F5" s="18" t="n">
        <v>250</v>
      </c>
      <c r="G5" s="18" t="n">
        <v>5</v>
      </c>
      <c r="H5" t="inlineStr">
        <is>
          <t>Weekly</t>
        </is>
      </c>
      <c r="I5" t="inlineStr">
        <is>
          <t>Daily</t>
        </is>
      </c>
      <c r="J5" t="inlineStr">
        <is>
          <t>B1-Middle</t>
        </is>
      </c>
      <c r="K5">
        <f>Controls!$B$22</f>
        <v/>
      </c>
      <c r="L5">
        <f>Controls!$B$20</f>
        <v/>
      </c>
      <c r="M5">
        <f>Controls!$B$21</f>
        <v/>
      </c>
      <c r="N5">
        <f>ROUND(K5*(L5/12)*(M5/12),2)</f>
        <v/>
      </c>
      <c r="O5">
        <f>IFERROR(VLOOKUP(C5,Lookup_Tables!$G$4:$H$7,2,FALSE),35)</f>
        <v/>
      </c>
      <c r="P5">
        <f>IF(O5&lt;=N5,"Fits","Review")</f>
        <v/>
      </c>
      <c r="Q5">
        <f>ROUND(O5/N5,3)</f>
        <v/>
      </c>
      <c r="R5">
        <f>Y5&amp;Z5&amp;"-"&amp;AA5</f>
        <v/>
      </c>
      <c r="S5" s="9">
        <f>IF(E5&gt;=1000,5,IF(E5&gt;=500,4,IF(E5&gt;=250,3,IF(E5&gt;=100,2,1))))</f>
        <v/>
      </c>
      <c r="T5" s="9">
        <f>IF(F5&gt;=1000,5,IF(F5&gt;=500,4,IF(F5&gt;=250,3,IF(F5&gt;=100,2,1))))</f>
        <v/>
      </c>
      <c r="U5" s="9">
        <f>IFERROR(VLOOKUP(C5,Lookup_Tables!$A$4:$B$8,2,FALSE),3)</f>
        <v/>
      </c>
      <c r="V5" s="9">
        <f>IFERROR(VLOOKUP(H5,Lookup_Tables!$D$4:$E$11,2,FALSE),2)</f>
        <v/>
      </c>
      <c r="W5" s="9">
        <f>IFERROR(VLOOKUP(I5,Lookup_Tables!$D$4:$E$11,2,FALSE),2)</f>
        <v/>
      </c>
      <c r="X5" s="13">
        <f>ROUND((D5*Controls!$B$4)+(G5*Controls!$B$5)+(S5*Controls!$B$6)+(T5*Controls!$B$7)+(U5*Controls!$B$8)+(MAX(V5,W5)*Controls!$B$9),2)</f>
        <v/>
      </c>
      <c r="Y5">
        <f>IF(AD5="Bulk","A",IF(X5&gt;=Controls!$B$10,"A",IF(X5&gt;=Controls!$B$11,"B","C")))</f>
        <v/>
      </c>
      <c r="Z5" s="9">
        <f>IF(OR(D5&gt;=4,G5&gt;=4),1,IF(X5&gt;=Controls!$B$11,2,3))</f>
        <v/>
      </c>
      <c r="AA5">
        <f>IF(OR(D5&gt;=4,G5&gt;=4),"Front",IF(X5&gt;=Controls!$B$11,"Middle","Back"))</f>
        <v/>
      </c>
      <c r="AB5">
        <f>IF(P5="Fits",R5,"Manual Review")</f>
        <v/>
      </c>
      <c r="AC5">
        <f>IF(AD5="Bulk","Bulk / heavy item -&gt; lower level priority",IF(P5&lt;&gt;"Fits","Review cube fit before assigning location",IF(AND(D5&gt;=4,G5&gt;=4),"High usage + high flow -&gt; front-access priority",IF(X5&gt;=Controls!$B$11,"Medium priority item -&gt; standard access","Low priority / reserve storage"))))</f>
        <v/>
      </c>
      <c r="AD5">
        <f>IF(OR(C5="Bulk",F5&gt;=Controls!$B$12),"Bulk","Non-Bulk")</f>
        <v/>
      </c>
      <c r="AF5">
        <f>RANK(X5,$X$4:$X$18,0)+COUNTIF($X$4:X5,X5)-1</f>
        <v/>
      </c>
      <c r="AG5">
        <f>IFERROR(VLOOKUP(A5,Lookup_Tables!$L$4:$M$18,2,FALSE),"FOOD")</f>
        <v/>
      </c>
      <c r="AH5">
        <f>IF(AF5&lt;=5,"Premium",IF(AF5&lt;=11,"Standard","Reserve"))</f>
        <v/>
      </c>
      <c r="AI5">
        <f>IF(AH5="Premium",IF(AG5="GIK","GIK-A"&amp;MOD(AF5-1,3)+1&amp;"-Front",IF(AG5="FOOD","FOOD-A"&amp;MOD(AF5-1,3)+1&amp;"-Front",IF(AG5="ADDITIONS","ADD-A"&amp;MOD(AF5-1,2)+1&amp;"-Front","GAR-A"&amp;MOD(AF5-1,2)+1&amp;"-Front"))),IF(AH5="Standard",IF(AG5="GIK","GIK-B"&amp;MOD(AF5-1,3)+1&amp;"-Middle",IF(AG5="FOOD","FOOD-B"&amp;MOD(AF5-1,3)+1&amp;"-Middle",IF(AG5="ADDITIONS","ADD-B"&amp;MOD(AF5-1,2)+1&amp;"-Middle","GAR-B"&amp;MOD(AF5-1,2)+1&amp;"-Middle"))),IF(AG5="GIK","GIK-C"&amp;MOD(AF5-1,3)+1&amp;"-Back",IF(AG5="FOOD","FOOD-C"&amp;MOD(AF5-1,3)+1&amp;"-Back",IF(AG5="ADDITIONS","ADD-C"&amp;MOD(AF5-1,2)+1&amp;"-Back","GAR-C"&amp;MOD(AF5-1,2)+1&amp;"-Back")))))</f>
        <v/>
      </c>
      <c r="AJ5">
        <f>IF(J5=AI5,"Keep in place",IF(LEFT(J5,3)=LEFT(AI5,3),"Re-slot within same zone","Move to "&amp;AG5&amp;" based on flow, capacity, and layout logic"))</f>
        <v/>
      </c>
      <c r="AK5">
        <f>IF(AH5="Premium",AF5,IF(AH5="Standard",AF5-5,AF5-11))</f>
        <v/>
      </c>
      <c r="AL5">
        <f>IF(AH5="Premium",AG5&amp;"-A"&amp;MOD(AK5-1,3)+1&amp;"-Front",IF(AH5="Standard",AG5&amp;"-B"&amp;MOD(AK5-1,3)+1&amp;"-Middle",AG5&amp;"-C"&amp;MOD(AK5-1,3)+1&amp;"-Back"))</f>
        <v/>
      </c>
      <c r="AM5">
        <f>IF(AH5="Premium","Premium item distributed across A1/A2/A3 by rank to avoid overloading one slot",IF(AH5="Standard","Standard item distributed across B1/B2/B3 by rank","Reserve item distributed across C1/C2/C3 by rank"))</f>
        <v/>
      </c>
      <c r="AN5">
        <f>MOD(AK5-1,9)+1</f>
        <v/>
      </c>
      <c r="AO5">
        <f>IF(AN5=1,AG5&amp;"-A1-Front",IF(AN5=2,AG5&amp;"-B1-Front",IF(AN5=3,AG5&amp;"-C1-Front",IF(AN5=4,AG5&amp;"-A2-Middle",IF(AN5=5,AG5&amp;"-B2-Middle",IF(AN5=6,AG5&amp;"-A3-Back",IF(AN5=7,AG5&amp;"-B3-Back",IF(AN5=8,AG5&amp;"-C2-Middle",AG5&amp;"-C3-Back"))))))))</f>
        <v/>
      </c>
      <c r="AP5">
        <f>IF(AH5="Premium","Premium item positioned by score rank within premium bucket",IF(AH5="Standard","Standard item positioned by score rank within standard bucket","Reserve item positioned by score rank within reserve bucket"))</f>
        <v/>
      </c>
    </row>
    <row r="6">
      <c r="A6" t="inlineStr">
        <is>
          <t>Rice</t>
        </is>
      </c>
      <c r="B6" t="inlineStr">
        <is>
          <t>Food</t>
        </is>
      </c>
      <c r="C6" t="inlineStr">
        <is>
          <t>Food</t>
        </is>
      </c>
      <c r="D6" s="18" t="n">
        <v>4</v>
      </c>
      <c r="E6" s="18" t="n">
        <v>115</v>
      </c>
      <c r="F6" s="18" t="n">
        <v>300</v>
      </c>
      <c r="G6" s="18" t="n">
        <v>4</v>
      </c>
      <c r="H6" t="inlineStr">
        <is>
          <t>Weekly</t>
        </is>
      </c>
      <c r="I6" t="inlineStr">
        <is>
          <t>Daily</t>
        </is>
      </c>
      <c r="J6" t="inlineStr">
        <is>
          <t>B2-Middle</t>
        </is>
      </c>
      <c r="K6">
        <f>Controls!$B$22</f>
        <v/>
      </c>
      <c r="L6">
        <f>Controls!$B$20</f>
        <v/>
      </c>
      <c r="M6">
        <f>Controls!$B$21</f>
        <v/>
      </c>
      <c r="N6">
        <f>ROUND(K6*(L6/12)*(M6/12),2)</f>
        <v/>
      </c>
      <c r="O6">
        <f>IFERROR(VLOOKUP(C6,Lookup_Tables!$G$4:$H$7,2,FALSE),35)</f>
        <v/>
      </c>
      <c r="P6">
        <f>IF(O6&lt;=N6,"Fits","Review")</f>
        <v/>
      </c>
      <c r="Q6">
        <f>ROUND(O6/N6,3)</f>
        <v/>
      </c>
      <c r="R6">
        <f>Y6&amp;Z6&amp;"-"&amp;AA6</f>
        <v/>
      </c>
      <c r="S6" s="9">
        <f>IF(E6&gt;=1000,5,IF(E6&gt;=500,4,IF(E6&gt;=250,3,IF(E6&gt;=100,2,1))))</f>
        <v/>
      </c>
      <c r="T6" s="9">
        <f>IF(F6&gt;=1000,5,IF(F6&gt;=500,4,IF(F6&gt;=250,3,IF(F6&gt;=100,2,1))))</f>
        <v/>
      </c>
      <c r="U6" s="9">
        <f>IFERROR(VLOOKUP(C6,Lookup_Tables!$A$4:$B$8,2,FALSE),3)</f>
        <v/>
      </c>
      <c r="V6" s="9">
        <f>IFERROR(VLOOKUP(H6,Lookup_Tables!$D$4:$E$11,2,FALSE),2)</f>
        <v/>
      </c>
      <c r="W6" s="9">
        <f>IFERROR(VLOOKUP(I6,Lookup_Tables!$D$4:$E$11,2,FALSE),2)</f>
        <v/>
      </c>
      <c r="X6" s="13">
        <f>ROUND((D6*Controls!$B$4)+(G6*Controls!$B$5)+(S6*Controls!$B$6)+(T6*Controls!$B$7)+(U6*Controls!$B$8)+(MAX(V6,W6)*Controls!$B$9),2)</f>
        <v/>
      </c>
      <c r="Y6">
        <f>IF(AD6="Bulk","A",IF(X6&gt;=Controls!$B$10,"A",IF(X6&gt;=Controls!$B$11,"B","C")))</f>
        <v/>
      </c>
      <c r="Z6" s="9">
        <f>IF(OR(D6&gt;=4,G6&gt;=4),1,IF(X6&gt;=Controls!$B$11,2,3))</f>
        <v/>
      </c>
      <c r="AA6">
        <f>IF(OR(D6&gt;=4,G6&gt;=4),"Front",IF(X6&gt;=Controls!$B$11,"Middle","Back"))</f>
        <v/>
      </c>
      <c r="AB6">
        <f>IF(P6="Fits",R6,"Manual Review")</f>
        <v/>
      </c>
      <c r="AC6">
        <f>IF(AD6="Bulk","Bulk / heavy item -&gt; lower level priority",IF(P6&lt;&gt;"Fits","Review cube fit before assigning location",IF(AND(D6&gt;=4,G6&gt;=4),"High usage + high flow -&gt; front-access priority",IF(X6&gt;=Controls!$B$11,"Medium priority item -&gt; standard access","Low priority / reserve storage"))))</f>
        <v/>
      </c>
      <c r="AD6">
        <f>IF(OR(C6="Bulk",F6&gt;=Controls!$B$12),"Bulk","Non-Bulk")</f>
        <v/>
      </c>
      <c r="AF6">
        <f>RANK(X6,$X$4:$X$18,0)+COUNTIF($X$4:X6,X6)-1</f>
        <v/>
      </c>
      <c r="AG6">
        <f>IFERROR(VLOOKUP(A6,Lookup_Tables!$L$4:$M$18,2,FALSE),"FOOD")</f>
        <v/>
      </c>
      <c r="AH6">
        <f>IF(AF6&lt;=5,"Premium",IF(AF6&lt;=11,"Standard","Reserve"))</f>
        <v/>
      </c>
      <c r="AI6">
        <f>IF(AH6="Premium",IF(AG6="GIK","GIK-A"&amp;MOD(AF6-1,3)+1&amp;"-Front",IF(AG6="FOOD","FOOD-A"&amp;MOD(AF6-1,3)+1&amp;"-Front",IF(AG6="ADDITIONS","ADD-A"&amp;MOD(AF6-1,2)+1&amp;"-Front","GAR-A"&amp;MOD(AF6-1,2)+1&amp;"-Front"))),IF(AH6="Standard",IF(AG6="GIK","GIK-B"&amp;MOD(AF6-1,3)+1&amp;"-Middle",IF(AG6="FOOD","FOOD-B"&amp;MOD(AF6-1,3)+1&amp;"-Middle",IF(AG6="ADDITIONS","ADD-B"&amp;MOD(AF6-1,2)+1&amp;"-Middle","GAR-B"&amp;MOD(AF6-1,2)+1&amp;"-Middle"))),IF(AG6="GIK","GIK-C"&amp;MOD(AF6-1,3)+1&amp;"-Back",IF(AG6="FOOD","FOOD-C"&amp;MOD(AF6-1,3)+1&amp;"-Back",IF(AG6="ADDITIONS","ADD-C"&amp;MOD(AF6-1,2)+1&amp;"-Back","GAR-C"&amp;MOD(AF6-1,2)+1&amp;"-Back")))))</f>
        <v/>
      </c>
      <c r="AJ6">
        <f>IF(J6=AI6,"Keep in place",IF(LEFT(J6,3)=LEFT(AI6,3),"Re-slot within same zone","Move to "&amp;AG6&amp;" based on flow, capacity, and layout logic"))</f>
        <v/>
      </c>
      <c r="AK6">
        <f>IF(AH6="Premium",AF6,IF(AH6="Standard",AF6-5,AF6-11))</f>
        <v/>
      </c>
      <c r="AL6">
        <f>IF(AH6="Premium",AG6&amp;"-A"&amp;MOD(AK6-1,3)+1&amp;"-Front",IF(AH6="Standard",AG6&amp;"-B"&amp;MOD(AK6-1,3)+1&amp;"-Middle",AG6&amp;"-C"&amp;MOD(AK6-1,3)+1&amp;"-Back"))</f>
        <v/>
      </c>
      <c r="AM6">
        <f>IF(AH6="Premium","Premium item distributed across A1/A2/A3 by rank to avoid overloading one slot",IF(AH6="Standard","Standard item distributed across B1/B2/B3 by rank","Reserve item distributed across C1/C2/C3 by rank"))</f>
        <v/>
      </c>
      <c r="AN6">
        <f>MOD(AK6-1,9)+1</f>
        <v/>
      </c>
      <c r="AO6">
        <f>IF(AN6=1,AG6&amp;"-A1-Front",IF(AN6=2,AG6&amp;"-B1-Front",IF(AN6=3,AG6&amp;"-C1-Front",IF(AN6=4,AG6&amp;"-A2-Middle",IF(AN6=5,AG6&amp;"-B2-Middle",IF(AN6=6,AG6&amp;"-A3-Back",IF(AN6=7,AG6&amp;"-B3-Back",IF(AN6=8,AG6&amp;"-C2-Middle",AG6&amp;"-C3-Back"))))))))</f>
        <v/>
      </c>
      <c r="AP6">
        <f>IF(AH6="Premium","Premium item positioned by score rank within premium bucket",IF(AH6="Standard","Standard item positioned by score rank within standard bucket","Reserve item positioned by score rank within reserve bucket"))</f>
        <v/>
      </c>
    </row>
    <row r="7">
      <c r="A7" t="inlineStr">
        <is>
          <t>Black Beans</t>
        </is>
      </c>
      <c r="B7" t="inlineStr">
        <is>
          <t>Food</t>
        </is>
      </c>
      <c r="C7" t="inlineStr">
        <is>
          <t>Food</t>
        </is>
      </c>
      <c r="D7" s="18" t="n">
        <v>4</v>
      </c>
      <c r="E7" s="18" t="n">
        <v>96</v>
      </c>
      <c r="F7" s="18" t="n">
        <v>280</v>
      </c>
      <c r="G7" s="18" t="n">
        <v>4</v>
      </c>
      <c r="H7" t="inlineStr">
        <is>
          <t>Weekly</t>
        </is>
      </c>
      <c r="I7" t="inlineStr">
        <is>
          <t>Daily</t>
        </is>
      </c>
      <c r="J7" t="inlineStr">
        <is>
          <t>B3-Middle</t>
        </is>
      </c>
      <c r="K7">
        <f>Controls!$B$22</f>
        <v/>
      </c>
      <c r="L7">
        <f>Controls!$B$20</f>
        <v/>
      </c>
      <c r="M7">
        <f>Controls!$B$21</f>
        <v/>
      </c>
      <c r="N7">
        <f>ROUND(K7*(L7/12)*(M7/12),2)</f>
        <v/>
      </c>
      <c r="O7">
        <f>IFERROR(VLOOKUP(C7,Lookup_Tables!$G$4:$H$7,2,FALSE),35)</f>
        <v/>
      </c>
      <c r="P7">
        <f>IF(O7&lt;=N7,"Fits","Review")</f>
        <v/>
      </c>
      <c r="Q7">
        <f>ROUND(O7/N7,3)</f>
        <v/>
      </c>
      <c r="R7">
        <f>Y7&amp;Z7&amp;"-"&amp;AA7</f>
        <v/>
      </c>
      <c r="S7" s="9">
        <f>IF(E7&gt;=1000,5,IF(E7&gt;=500,4,IF(E7&gt;=250,3,IF(E7&gt;=100,2,1))))</f>
        <v/>
      </c>
      <c r="T7" s="9">
        <f>IF(F7&gt;=1000,5,IF(F7&gt;=500,4,IF(F7&gt;=250,3,IF(F7&gt;=100,2,1))))</f>
        <v/>
      </c>
      <c r="U7" s="9">
        <f>IFERROR(VLOOKUP(C7,Lookup_Tables!$A$4:$B$8,2,FALSE),3)</f>
        <v/>
      </c>
      <c r="V7" s="9">
        <f>IFERROR(VLOOKUP(H7,Lookup_Tables!$D$4:$E$11,2,FALSE),2)</f>
        <v/>
      </c>
      <c r="W7" s="9">
        <f>IFERROR(VLOOKUP(I7,Lookup_Tables!$D$4:$E$11,2,FALSE),2)</f>
        <v/>
      </c>
      <c r="X7" s="13">
        <f>ROUND((D7*Controls!$B$4)+(G7*Controls!$B$5)+(S7*Controls!$B$6)+(T7*Controls!$B$7)+(U7*Controls!$B$8)+(MAX(V7,W7)*Controls!$B$9),2)</f>
        <v/>
      </c>
      <c r="Y7">
        <f>IF(AD7="Bulk","A",IF(X7&gt;=Controls!$B$10,"A",IF(X7&gt;=Controls!$B$11,"B","C")))</f>
        <v/>
      </c>
      <c r="Z7" s="9">
        <f>IF(OR(D7&gt;=4,G7&gt;=4),1,IF(X7&gt;=Controls!$B$11,2,3))</f>
        <v/>
      </c>
      <c r="AA7">
        <f>IF(OR(D7&gt;=4,G7&gt;=4),"Front",IF(X7&gt;=Controls!$B$11,"Middle","Back"))</f>
        <v/>
      </c>
      <c r="AB7">
        <f>IF(P7="Fits",R7,"Manual Review")</f>
        <v/>
      </c>
      <c r="AC7">
        <f>IF(AD7="Bulk","Bulk / heavy item -&gt; lower level priority",IF(P7&lt;&gt;"Fits","Review cube fit before assigning location",IF(AND(D7&gt;=4,G7&gt;=4),"High usage + high flow -&gt; front-access priority",IF(X7&gt;=Controls!$B$11,"Medium priority item -&gt; standard access","Low priority / reserve storage"))))</f>
        <v/>
      </c>
      <c r="AD7">
        <f>IF(OR(C7="Bulk",F7&gt;=Controls!$B$12),"Bulk","Non-Bulk")</f>
        <v/>
      </c>
      <c r="AF7">
        <f>RANK(X7,$X$4:$X$18,0)+COUNTIF($X$4:X7,X7)-1</f>
        <v/>
      </c>
      <c r="AG7">
        <f>IFERROR(VLOOKUP(A7,Lookup_Tables!$L$4:$M$18,2,FALSE),"FOOD")</f>
        <v/>
      </c>
      <c r="AH7">
        <f>IF(AF7&lt;=5,"Premium",IF(AF7&lt;=11,"Standard","Reserve"))</f>
        <v/>
      </c>
      <c r="AI7">
        <f>IF(AH7="Premium",IF(AG7="GIK","GIK-A"&amp;MOD(AF7-1,3)+1&amp;"-Front",IF(AG7="FOOD","FOOD-A"&amp;MOD(AF7-1,3)+1&amp;"-Front",IF(AG7="ADDITIONS","ADD-A"&amp;MOD(AF7-1,2)+1&amp;"-Front","GAR-A"&amp;MOD(AF7-1,2)+1&amp;"-Front"))),IF(AH7="Standard",IF(AG7="GIK","GIK-B"&amp;MOD(AF7-1,3)+1&amp;"-Middle",IF(AG7="FOOD","FOOD-B"&amp;MOD(AF7-1,3)+1&amp;"-Middle",IF(AG7="ADDITIONS","ADD-B"&amp;MOD(AF7-1,2)+1&amp;"-Middle","GAR-B"&amp;MOD(AF7-1,2)+1&amp;"-Middle"))),IF(AG7="GIK","GIK-C"&amp;MOD(AF7-1,3)+1&amp;"-Back",IF(AG7="FOOD","FOOD-C"&amp;MOD(AF7-1,3)+1&amp;"-Back",IF(AG7="ADDITIONS","ADD-C"&amp;MOD(AF7-1,2)+1&amp;"-Back","GAR-C"&amp;MOD(AF7-1,2)+1&amp;"-Back")))))</f>
        <v/>
      </c>
      <c r="AJ7">
        <f>IF(J7=AI7,"Keep in place",IF(LEFT(J7,3)=LEFT(AI7,3),"Re-slot within same zone","Move to "&amp;AG7&amp;" based on flow, capacity, and layout logic"))</f>
        <v/>
      </c>
      <c r="AK7">
        <f>IF(AH7="Premium",AF7,IF(AH7="Standard",AF7-5,AF7-11))</f>
        <v/>
      </c>
      <c r="AL7">
        <f>IF(AH7="Premium",AG7&amp;"-A"&amp;MOD(AK7-1,3)+1&amp;"-Front",IF(AH7="Standard",AG7&amp;"-B"&amp;MOD(AK7-1,3)+1&amp;"-Middle",AG7&amp;"-C"&amp;MOD(AK7-1,3)+1&amp;"-Back"))</f>
        <v/>
      </c>
      <c r="AM7">
        <f>IF(AH7="Premium","Premium item distributed across A1/A2/A3 by rank to avoid overloading one slot",IF(AH7="Standard","Standard item distributed across B1/B2/B3 by rank","Reserve item distributed across C1/C2/C3 by rank"))</f>
        <v/>
      </c>
      <c r="AN7">
        <f>MOD(AK7-1,9)+1</f>
        <v/>
      </c>
      <c r="AO7">
        <f>IF(AN7=1,AG7&amp;"-A1-Front",IF(AN7=2,AG7&amp;"-B1-Front",IF(AN7=3,AG7&amp;"-C1-Front",IF(AN7=4,AG7&amp;"-A2-Middle",IF(AN7=5,AG7&amp;"-B2-Middle",IF(AN7=6,AG7&amp;"-A3-Back",IF(AN7=7,AG7&amp;"-B3-Back",IF(AN7=8,AG7&amp;"-C2-Middle",AG7&amp;"-C3-Back"))))))))</f>
        <v/>
      </c>
      <c r="AP7">
        <f>IF(AH7="Premium","Premium item positioned by score rank within premium bucket",IF(AH7="Standard","Standard item positioned by score rank within standard bucket","Reserve item positioned by score rank within reserve bucket"))</f>
        <v/>
      </c>
    </row>
    <row r="8">
      <c r="A8" t="inlineStr">
        <is>
          <t>Peanut Butter</t>
        </is>
      </c>
      <c r="B8" t="inlineStr">
        <is>
          <t>Food</t>
        </is>
      </c>
      <c r="C8" t="inlineStr">
        <is>
          <t>Bulk</t>
        </is>
      </c>
      <c r="D8" s="18" t="n">
        <v>5</v>
      </c>
      <c r="E8" s="18" t="n">
        <v>135</v>
      </c>
      <c r="F8" s="18" t="n">
        <v>220</v>
      </c>
      <c r="G8" s="18" t="n">
        <v>5</v>
      </c>
      <c r="H8" t="inlineStr">
        <is>
          <t>4x/Week</t>
        </is>
      </c>
      <c r="I8" t="inlineStr">
        <is>
          <t>4x/Week</t>
        </is>
      </c>
      <c r="J8" t="inlineStr">
        <is>
          <t>B2-Front</t>
        </is>
      </c>
      <c r="K8">
        <f>Controls!$B$22</f>
        <v/>
      </c>
      <c r="L8">
        <f>Controls!$B$20</f>
        <v/>
      </c>
      <c r="M8">
        <f>Controls!$B$21</f>
        <v/>
      </c>
      <c r="N8">
        <f>ROUND(K8*(L8/12)*(M8/12),2)</f>
        <v/>
      </c>
      <c r="O8">
        <f>IFERROR(VLOOKUP(C8,Lookup_Tables!$G$4:$H$7,2,FALSE),35)</f>
        <v/>
      </c>
      <c r="P8">
        <f>IF(O8&lt;=N8,"Fits","Review")</f>
        <v/>
      </c>
      <c r="Q8">
        <f>ROUND(O8/N8,3)</f>
        <v/>
      </c>
      <c r="R8">
        <f>Y8&amp;Z8&amp;"-"&amp;AA8</f>
        <v/>
      </c>
      <c r="S8" s="9">
        <f>IF(E8&gt;=1000,5,IF(E8&gt;=500,4,IF(E8&gt;=250,3,IF(E8&gt;=100,2,1))))</f>
        <v/>
      </c>
      <c r="T8" s="9">
        <f>IF(F8&gt;=1000,5,IF(F8&gt;=500,4,IF(F8&gt;=250,3,IF(F8&gt;=100,2,1))))</f>
        <v/>
      </c>
      <c r="U8" s="9">
        <f>IFERROR(VLOOKUP(C8,Lookup_Tables!$A$4:$B$8,2,FALSE),3)</f>
        <v/>
      </c>
      <c r="V8" s="9">
        <f>IFERROR(VLOOKUP(H8,Lookup_Tables!$D$4:$E$11,2,FALSE),2)</f>
        <v/>
      </c>
      <c r="W8" s="9">
        <f>IFERROR(VLOOKUP(I8,Lookup_Tables!$D$4:$E$11,2,FALSE),2)</f>
        <v/>
      </c>
      <c r="X8" s="13">
        <f>ROUND((D8*Controls!$B$4)+(G8*Controls!$B$5)+(S8*Controls!$B$6)+(T8*Controls!$B$7)+(U8*Controls!$B$8)+(MAX(V8,W8)*Controls!$B$9),2)</f>
        <v/>
      </c>
      <c r="Y8">
        <f>IF(AD8="Bulk","A",IF(X8&gt;=Controls!$B$10,"A",IF(X8&gt;=Controls!$B$11,"B","C")))</f>
        <v/>
      </c>
      <c r="Z8" s="9">
        <f>IF(OR(D8&gt;=4,G8&gt;=4),1,IF(X8&gt;=Controls!$B$11,2,3))</f>
        <v/>
      </c>
      <c r="AA8">
        <f>IF(OR(D8&gt;=4,G8&gt;=4),"Front",IF(X8&gt;=Controls!$B$11,"Middle","Back"))</f>
        <v/>
      </c>
      <c r="AB8">
        <f>IF(P8="Fits",R8,"Manual Review")</f>
        <v/>
      </c>
      <c r="AC8">
        <f>IF(AD8="Bulk","Bulk / heavy item -&gt; lower level priority",IF(P8&lt;&gt;"Fits","Review cube fit before assigning location",IF(AND(D8&gt;=4,G8&gt;=4),"High usage + high flow -&gt; front-access priority",IF(X8&gt;=Controls!$B$11,"Medium priority item -&gt; standard access","Low priority / reserve storage"))))</f>
        <v/>
      </c>
      <c r="AD8">
        <f>IF(OR(C8="Bulk",F8&gt;=Controls!$B$12),"Bulk","Non-Bulk")</f>
        <v/>
      </c>
      <c r="AE8" t="inlineStr">
        <is>
          <t>Updated from field note: peanut butter arrives in bulk about 4 times per week.</t>
        </is>
      </c>
      <c r="AF8">
        <f>RANK(X8,$X$4:$X$18,0)+COUNTIF($X$4:X8,X8)-1</f>
        <v/>
      </c>
      <c r="AG8">
        <f>IFERROR(VLOOKUP(A8,Lookup_Tables!$L$4:$M$18,2,FALSE),"FOOD")</f>
        <v/>
      </c>
      <c r="AH8">
        <f>IF(AF8&lt;=5,"Premium",IF(AF8&lt;=11,"Standard","Reserve"))</f>
        <v/>
      </c>
      <c r="AI8">
        <f>IF(AH8="Premium",IF(AG8="GIK","GIK-A"&amp;MOD(AF8-1,3)+1&amp;"-Front",IF(AG8="FOOD","FOOD-A"&amp;MOD(AF8-1,3)+1&amp;"-Front",IF(AG8="ADDITIONS","ADD-A"&amp;MOD(AF8-1,2)+1&amp;"-Front","GAR-A"&amp;MOD(AF8-1,2)+1&amp;"-Front"))),IF(AH8="Standard",IF(AG8="GIK","GIK-B"&amp;MOD(AF8-1,3)+1&amp;"-Middle",IF(AG8="FOOD","FOOD-B"&amp;MOD(AF8-1,3)+1&amp;"-Middle",IF(AG8="ADDITIONS","ADD-B"&amp;MOD(AF8-1,2)+1&amp;"-Middle","GAR-B"&amp;MOD(AF8-1,2)+1&amp;"-Middle"))),IF(AG8="GIK","GIK-C"&amp;MOD(AF8-1,3)+1&amp;"-Back",IF(AG8="FOOD","FOOD-C"&amp;MOD(AF8-1,3)+1&amp;"-Back",IF(AG8="ADDITIONS","ADD-C"&amp;MOD(AF8-1,2)+1&amp;"-Back","GAR-C"&amp;MOD(AF8-1,2)+1&amp;"-Back")))))</f>
        <v/>
      </c>
      <c r="AJ8">
        <f>IF(J8=AI8,"Keep in place",IF(LEFT(J8,3)=LEFT(AI8,3),"Re-slot within same zone","Move to "&amp;AG8&amp;" based on flow, capacity, and layout logic"))</f>
        <v/>
      </c>
      <c r="AK8">
        <f>IF(AH8="Premium",AF8,IF(AH8="Standard",AF8-5,AF8-11))</f>
        <v/>
      </c>
      <c r="AL8">
        <f>IF(AH8="Premium",AG8&amp;"-A"&amp;MOD(AK8-1,3)+1&amp;"-Front",IF(AH8="Standard",AG8&amp;"-B"&amp;MOD(AK8-1,3)+1&amp;"-Middle",AG8&amp;"-C"&amp;MOD(AK8-1,3)+1&amp;"-Back"))</f>
        <v/>
      </c>
      <c r="AM8">
        <f>IF(AH8="Premium","Premium item distributed across A1/A2/A3 by rank to avoid overloading one slot",IF(AH8="Standard","Standard item distributed across B1/B2/B3 by rank","Reserve item distributed across C1/C2/C3 by rank"))</f>
        <v/>
      </c>
      <c r="AN8">
        <f>MOD(AK8-1,9)+1</f>
        <v/>
      </c>
      <c r="AO8">
        <f>IF(AN8=1,AG8&amp;"-A1-Front",IF(AN8=2,AG8&amp;"-B1-Front",IF(AN8=3,AG8&amp;"-C1-Front",IF(AN8=4,AG8&amp;"-A2-Middle",IF(AN8=5,AG8&amp;"-B2-Middle",IF(AN8=6,AG8&amp;"-A3-Back",IF(AN8=7,AG8&amp;"-B3-Back",IF(AN8=8,AG8&amp;"-C2-Middle",AG8&amp;"-C3-Back"))))))))</f>
        <v/>
      </c>
      <c r="AP8">
        <f>IF(AH8="Premium","Premium item positioned by score rank within premium bucket",IF(AH8="Standard","Standard item positioned by score rank within standard bucket","Reserve item positioned by score rank within reserve bucket"))</f>
        <v/>
      </c>
    </row>
    <row r="9">
      <c r="A9" t="inlineStr">
        <is>
          <t>Pasta Sauce</t>
        </is>
      </c>
      <c r="B9" t="inlineStr">
        <is>
          <t>Food</t>
        </is>
      </c>
      <c r="C9" t="inlineStr">
        <is>
          <t>Food</t>
        </is>
      </c>
      <c r="D9" s="18" t="n">
        <v>3</v>
      </c>
      <c r="E9" s="18" t="n">
        <v>96</v>
      </c>
      <c r="F9" s="18" t="n">
        <v>180</v>
      </c>
      <c r="G9" s="18" t="n">
        <v>3</v>
      </c>
      <c r="H9" t="inlineStr">
        <is>
          <t>Weekly</t>
        </is>
      </c>
      <c r="I9" t="inlineStr">
        <is>
          <t>Weekly</t>
        </is>
      </c>
      <c r="J9" t="inlineStr">
        <is>
          <t>C1-Middle</t>
        </is>
      </c>
      <c r="K9">
        <f>Controls!$B$22</f>
        <v/>
      </c>
      <c r="L9">
        <f>Controls!$B$20</f>
        <v/>
      </c>
      <c r="M9">
        <f>Controls!$B$21</f>
        <v/>
      </c>
      <c r="N9">
        <f>ROUND(K9*(L9/12)*(M9/12),2)</f>
        <v/>
      </c>
      <c r="O9">
        <f>IFERROR(VLOOKUP(C9,Lookup_Tables!$G$4:$H$7,2,FALSE),35)</f>
        <v/>
      </c>
      <c r="P9">
        <f>IF(O9&lt;=N9,"Fits","Review")</f>
        <v/>
      </c>
      <c r="Q9">
        <f>ROUND(O9/N9,3)</f>
        <v/>
      </c>
      <c r="R9">
        <f>Y9&amp;Z9&amp;"-"&amp;AA9</f>
        <v/>
      </c>
      <c r="S9" s="9">
        <f>IF(E9&gt;=1000,5,IF(E9&gt;=500,4,IF(E9&gt;=250,3,IF(E9&gt;=100,2,1))))</f>
        <v/>
      </c>
      <c r="T9" s="9">
        <f>IF(F9&gt;=1000,5,IF(F9&gt;=500,4,IF(F9&gt;=250,3,IF(F9&gt;=100,2,1))))</f>
        <v/>
      </c>
      <c r="U9" s="9">
        <f>IFERROR(VLOOKUP(C9,Lookup_Tables!$A$4:$B$8,2,FALSE),3)</f>
        <v/>
      </c>
      <c r="V9" s="9">
        <f>IFERROR(VLOOKUP(H9,Lookup_Tables!$D$4:$E$11,2,FALSE),2)</f>
        <v/>
      </c>
      <c r="W9" s="9">
        <f>IFERROR(VLOOKUP(I9,Lookup_Tables!$D$4:$E$11,2,FALSE),2)</f>
        <v/>
      </c>
      <c r="X9" s="13">
        <f>ROUND((D9*Controls!$B$4)+(G9*Controls!$B$5)+(S9*Controls!$B$6)+(T9*Controls!$B$7)+(U9*Controls!$B$8)+(MAX(V9,W9)*Controls!$B$9),2)</f>
        <v/>
      </c>
      <c r="Y9">
        <f>IF(AD9="Bulk","A",IF(X9&gt;=Controls!$B$10,"A",IF(X9&gt;=Controls!$B$11,"B","C")))</f>
        <v/>
      </c>
      <c r="Z9" s="9">
        <f>IF(OR(D9&gt;=4,G9&gt;=4),1,IF(X9&gt;=Controls!$B$11,2,3))</f>
        <v/>
      </c>
      <c r="AA9">
        <f>IF(OR(D9&gt;=4,G9&gt;=4),"Front",IF(X9&gt;=Controls!$B$11,"Middle","Back"))</f>
        <v/>
      </c>
      <c r="AB9">
        <f>IF(P9="Fits",R9,"Manual Review")</f>
        <v/>
      </c>
      <c r="AC9">
        <f>IF(AD9="Bulk","Bulk / heavy item -&gt; lower level priority",IF(P9&lt;&gt;"Fits","Review cube fit before assigning location",IF(AND(D9&gt;=4,G9&gt;=4),"High usage + high flow -&gt; front-access priority",IF(X9&gt;=Controls!$B$11,"Medium priority item -&gt; standard access","Low priority / reserve storage"))))</f>
        <v/>
      </c>
      <c r="AD9">
        <f>IF(OR(C9="Bulk",F9&gt;=Controls!$B$12),"Bulk","Non-Bulk")</f>
        <v/>
      </c>
      <c r="AF9">
        <f>RANK(X9,$X$4:$X$18,0)+COUNTIF($X$4:X9,X9)-1</f>
        <v/>
      </c>
      <c r="AG9">
        <f>IFERROR(VLOOKUP(A9,Lookup_Tables!$L$4:$M$18,2,FALSE),"FOOD")</f>
        <v/>
      </c>
      <c r="AH9">
        <f>IF(AF9&lt;=5,"Premium",IF(AF9&lt;=11,"Standard","Reserve"))</f>
        <v/>
      </c>
      <c r="AI9">
        <f>IF(AH9="Premium",IF(AG9="GIK","GIK-A"&amp;MOD(AF9-1,3)+1&amp;"-Front",IF(AG9="FOOD","FOOD-A"&amp;MOD(AF9-1,3)+1&amp;"-Front",IF(AG9="ADDITIONS","ADD-A"&amp;MOD(AF9-1,2)+1&amp;"-Front","GAR-A"&amp;MOD(AF9-1,2)+1&amp;"-Front"))),IF(AH9="Standard",IF(AG9="GIK","GIK-B"&amp;MOD(AF9-1,3)+1&amp;"-Middle",IF(AG9="FOOD","FOOD-B"&amp;MOD(AF9-1,3)+1&amp;"-Middle",IF(AG9="ADDITIONS","ADD-B"&amp;MOD(AF9-1,2)+1&amp;"-Middle","GAR-B"&amp;MOD(AF9-1,2)+1&amp;"-Middle"))),IF(AG9="GIK","GIK-C"&amp;MOD(AF9-1,3)+1&amp;"-Back",IF(AG9="FOOD","FOOD-C"&amp;MOD(AF9-1,3)+1&amp;"-Back",IF(AG9="ADDITIONS","ADD-C"&amp;MOD(AF9-1,2)+1&amp;"-Back","GAR-C"&amp;MOD(AF9-1,2)+1&amp;"-Back")))))</f>
        <v/>
      </c>
      <c r="AJ9">
        <f>IF(J9=AI9,"Keep in place",IF(LEFT(J9,3)=LEFT(AI9,3),"Re-slot within same zone","Move to "&amp;AG9&amp;" based on flow, capacity, and layout logic"))</f>
        <v/>
      </c>
      <c r="AK9">
        <f>IF(AH9="Premium",AF9,IF(AH9="Standard",AF9-5,AF9-11))</f>
        <v/>
      </c>
      <c r="AL9">
        <f>IF(AH9="Premium",AG9&amp;"-A"&amp;MOD(AK9-1,3)+1&amp;"-Front",IF(AH9="Standard",AG9&amp;"-B"&amp;MOD(AK9-1,3)+1&amp;"-Middle",AG9&amp;"-C"&amp;MOD(AK9-1,3)+1&amp;"-Back"))</f>
        <v/>
      </c>
      <c r="AM9">
        <f>IF(AH9="Premium","Premium item distributed across A1/A2/A3 by rank to avoid overloading one slot",IF(AH9="Standard","Standard item distributed across B1/B2/B3 by rank","Reserve item distributed across C1/C2/C3 by rank"))</f>
        <v/>
      </c>
      <c r="AN9">
        <f>MOD(AK9-1,9)+1</f>
        <v/>
      </c>
      <c r="AO9">
        <f>IF(AN9=1,AG9&amp;"-A1-Front",IF(AN9=2,AG9&amp;"-B1-Front",IF(AN9=3,AG9&amp;"-C1-Front",IF(AN9=4,AG9&amp;"-A2-Middle",IF(AN9=5,AG9&amp;"-B2-Middle",IF(AN9=6,AG9&amp;"-A3-Back",IF(AN9=7,AG9&amp;"-B3-Back",IF(AN9=8,AG9&amp;"-C2-Middle",AG9&amp;"-C3-Back"))))))))</f>
        <v/>
      </c>
      <c r="AP9">
        <f>IF(AH9="Premium","Premium item positioned by score rank within premium bucket",IF(AH9="Standard","Standard item positioned by score rank within standard bucket","Reserve item positioned by score rank within reserve bucket"))</f>
        <v/>
      </c>
    </row>
    <row r="10">
      <c r="A10" t="inlineStr">
        <is>
          <t>Oats</t>
        </is>
      </c>
      <c r="B10" t="inlineStr">
        <is>
          <t>Food</t>
        </is>
      </c>
      <c r="C10" t="inlineStr">
        <is>
          <t>Food</t>
        </is>
      </c>
      <c r="D10" s="18" t="n">
        <v>3</v>
      </c>
      <c r="E10" s="18" t="n">
        <v>150</v>
      </c>
      <c r="F10" s="18" t="n">
        <v>160</v>
      </c>
      <c r="G10" s="18" t="n">
        <v>3</v>
      </c>
      <c r="H10" t="inlineStr">
        <is>
          <t>Weekly</t>
        </is>
      </c>
      <c r="I10" t="inlineStr">
        <is>
          <t>Weekly</t>
        </is>
      </c>
      <c r="J10" t="inlineStr">
        <is>
          <t>C2-Middle</t>
        </is>
      </c>
      <c r="K10">
        <f>Controls!$B$22</f>
        <v/>
      </c>
      <c r="L10">
        <f>Controls!$B$20</f>
        <v/>
      </c>
      <c r="M10">
        <f>Controls!$B$21</f>
        <v/>
      </c>
      <c r="N10">
        <f>ROUND(K10*(L10/12)*(M10/12),2)</f>
        <v/>
      </c>
      <c r="O10">
        <f>IFERROR(VLOOKUP(C10,Lookup_Tables!$G$4:$H$7,2,FALSE),35)</f>
        <v/>
      </c>
      <c r="P10">
        <f>IF(O10&lt;=N10,"Fits","Review")</f>
        <v/>
      </c>
      <c r="Q10">
        <f>ROUND(O10/N10,3)</f>
        <v/>
      </c>
      <c r="R10">
        <f>Y10&amp;Z10&amp;"-"&amp;AA10</f>
        <v/>
      </c>
      <c r="S10" s="9">
        <f>IF(E10&gt;=1000,5,IF(E10&gt;=500,4,IF(E10&gt;=250,3,IF(E10&gt;=100,2,1))))</f>
        <v/>
      </c>
      <c r="T10" s="9">
        <f>IF(F10&gt;=1000,5,IF(F10&gt;=500,4,IF(F10&gt;=250,3,IF(F10&gt;=100,2,1))))</f>
        <v/>
      </c>
      <c r="U10" s="9">
        <f>IFERROR(VLOOKUP(C10,Lookup_Tables!$A$4:$B$8,2,FALSE),3)</f>
        <v/>
      </c>
      <c r="V10" s="9">
        <f>IFERROR(VLOOKUP(H10,Lookup_Tables!$D$4:$E$11,2,FALSE),2)</f>
        <v/>
      </c>
      <c r="W10" s="9">
        <f>IFERROR(VLOOKUP(I10,Lookup_Tables!$D$4:$E$11,2,FALSE),2)</f>
        <v/>
      </c>
      <c r="X10" s="13">
        <f>ROUND((D10*Controls!$B$4)+(G10*Controls!$B$5)+(S10*Controls!$B$6)+(T10*Controls!$B$7)+(U10*Controls!$B$8)+(MAX(V10,W10)*Controls!$B$9),2)</f>
        <v/>
      </c>
      <c r="Y10">
        <f>IF(AD10="Bulk","A",IF(X10&gt;=Controls!$B$10,"A",IF(X10&gt;=Controls!$B$11,"B","C")))</f>
        <v/>
      </c>
      <c r="Z10" s="9">
        <f>IF(OR(D10&gt;=4,G10&gt;=4),1,IF(X10&gt;=Controls!$B$11,2,3))</f>
        <v/>
      </c>
      <c r="AA10">
        <f>IF(OR(D10&gt;=4,G10&gt;=4),"Front",IF(X10&gt;=Controls!$B$11,"Middle","Back"))</f>
        <v/>
      </c>
      <c r="AB10">
        <f>IF(P10="Fits",R10,"Manual Review")</f>
        <v/>
      </c>
      <c r="AC10">
        <f>IF(AD10="Bulk","Bulk / heavy item -&gt; lower level priority",IF(P10&lt;&gt;"Fits","Review cube fit before assigning location",IF(AND(D10&gt;=4,G10&gt;=4),"High usage + high flow -&gt; front-access priority",IF(X10&gt;=Controls!$B$11,"Medium priority item -&gt; standard access","Low priority / reserve storage"))))</f>
        <v/>
      </c>
      <c r="AD10">
        <f>IF(OR(C10="Bulk",F10&gt;=Controls!$B$12),"Bulk","Non-Bulk")</f>
        <v/>
      </c>
      <c r="AF10">
        <f>RANK(X10,$X$4:$X$18,0)+COUNTIF($X$4:X10,X10)-1</f>
        <v/>
      </c>
      <c r="AG10">
        <f>IFERROR(VLOOKUP(A10,Lookup_Tables!$L$4:$M$18,2,FALSE),"FOOD")</f>
        <v/>
      </c>
      <c r="AH10">
        <f>IF(AF10&lt;=5,"Premium",IF(AF10&lt;=11,"Standard","Reserve"))</f>
        <v/>
      </c>
      <c r="AI10">
        <f>IF(AH10="Premium",IF(AG10="GIK","GIK-A"&amp;MOD(AF10-1,3)+1&amp;"-Front",IF(AG10="FOOD","FOOD-A"&amp;MOD(AF10-1,3)+1&amp;"-Front",IF(AG10="ADDITIONS","ADD-A"&amp;MOD(AF10-1,2)+1&amp;"-Front","GAR-A"&amp;MOD(AF10-1,2)+1&amp;"-Front"))),IF(AH10="Standard",IF(AG10="GIK","GIK-B"&amp;MOD(AF10-1,3)+1&amp;"-Middle",IF(AG10="FOOD","FOOD-B"&amp;MOD(AF10-1,3)+1&amp;"-Middle",IF(AG10="ADDITIONS","ADD-B"&amp;MOD(AF10-1,2)+1&amp;"-Middle","GAR-B"&amp;MOD(AF10-1,2)+1&amp;"-Middle"))),IF(AG10="GIK","GIK-C"&amp;MOD(AF10-1,3)+1&amp;"-Back",IF(AG10="FOOD","FOOD-C"&amp;MOD(AF10-1,3)+1&amp;"-Back",IF(AG10="ADDITIONS","ADD-C"&amp;MOD(AF10-1,2)+1&amp;"-Back","GAR-C"&amp;MOD(AF10-1,2)+1&amp;"-Back")))))</f>
        <v/>
      </c>
      <c r="AJ10">
        <f>IF(J10=AI10,"Keep in place",IF(LEFT(J10,3)=LEFT(AI10,3),"Re-slot within same zone","Move to "&amp;AG10&amp;" based on flow, capacity, and layout logic"))</f>
        <v/>
      </c>
      <c r="AK10">
        <f>IF(AH10="Premium",AF10,IF(AH10="Standard",AF10-5,AF10-11))</f>
        <v/>
      </c>
      <c r="AL10">
        <f>IF(AH10="Premium",AG10&amp;"-A"&amp;MOD(AK10-1,3)+1&amp;"-Front",IF(AH10="Standard",AG10&amp;"-B"&amp;MOD(AK10-1,3)+1&amp;"-Middle",AG10&amp;"-C"&amp;MOD(AK10-1,3)+1&amp;"-Back"))</f>
        <v/>
      </c>
      <c r="AM10">
        <f>IF(AH10="Premium","Premium item distributed across A1/A2/A3 by rank to avoid overloading one slot",IF(AH10="Standard","Standard item distributed across B1/B2/B3 by rank","Reserve item distributed across C1/C2/C3 by rank"))</f>
        <v/>
      </c>
      <c r="AN10">
        <f>MOD(AK10-1,9)+1</f>
        <v/>
      </c>
      <c r="AO10">
        <f>IF(AN10=1,AG10&amp;"-A1-Front",IF(AN10=2,AG10&amp;"-B1-Front",IF(AN10=3,AG10&amp;"-C1-Front",IF(AN10=4,AG10&amp;"-A2-Middle",IF(AN10=5,AG10&amp;"-B2-Middle",IF(AN10=6,AG10&amp;"-A3-Back",IF(AN10=7,AG10&amp;"-B3-Back",IF(AN10=8,AG10&amp;"-C2-Middle",AG10&amp;"-C3-Back"))))))))</f>
        <v/>
      </c>
      <c r="AP10">
        <f>IF(AH10="Premium","Premium item positioned by score rank within premium bucket",IF(AH10="Standard","Standard item positioned by score rank within standard bucket","Reserve item positioned by score rank within reserve bucket"))</f>
        <v/>
      </c>
    </row>
    <row r="11">
      <c r="A11" t="inlineStr">
        <is>
          <t>Pancake Mix</t>
        </is>
      </c>
      <c r="B11" t="inlineStr">
        <is>
          <t>Food</t>
        </is>
      </c>
      <c r="C11" t="inlineStr">
        <is>
          <t>Food</t>
        </is>
      </c>
      <c r="D11" s="18" t="n">
        <v>3</v>
      </c>
      <c r="E11" s="18" t="n">
        <v>105</v>
      </c>
      <c r="F11" s="18" t="n">
        <v>140</v>
      </c>
      <c r="G11" s="18" t="n">
        <v>3</v>
      </c>
      <c r="H11" t="inlineStr">
        <is>
          <t>Weekly</t>
        </is>
      </c>
      <c r="I11" t="inlineStr">
        <is>
          <t>Weekly</t>
        </is>
      </c>
      <c r="J11" t="inlineStr">
        <is>
          <t>C2-Back</t>
        </is>
      </c>
      <c r="K11">
        <f>Controls!$B$22</f>
        <v/>
      </c>
      <c r="L11">
        <f>Controls!$B$20</f>
        <v/>
      </c>
      <c r="M11">
        <f>Controls!$B$21</f>
        <v/>
      </c>
      <c r="N11">
        <f>ROUND(K11*(L11/12)*(M11/12),2)</f>
        <v/>
      </c>
      <c r="O11">
        <f>IFERROR(VLOOKUP(C11,Lookup_Tables!$G$4:$H$7,2,FALSE),35)</f>
        <v/>
      </c>
      <c r="P11">
        <f>IF(O11&lt;=N11,"Fits","Review")</f>
        <v/>
      </c>
      <c r="Q11">
        <f>ROUND(O11/N11,3)</f>
        <v/>
      </c>
      <c r="R11">
        <f>Y11&amp;Z11&amp;"-"&amp;AA11</f>
        <v/>
      </c>
      <c r="S11" s="9">
        <f>IF(E11&gt;=1000,5,IF(E11&gt;=500,4,IF(E11&gt;=250,3,IF(E11&gt;=100,2,1))))</f>
        <v/>
      </c>
      <c r="T11" s="9">
        <f>IF(F11&gt;=1000,5,IF(F11&gt;=500,4,IF(F11&gt;=250,3,IF(F11&gt;=100,2,1))))</f>
        <v/>
      </c>
      <c r="U11" s="9">
        <f>IFERROR(VLOOKUP(C11,Lookup_Tables!$A$4:$B$8,2,FALSE),3)</f>
        <v/>
      </c>
      <c r="V11" s="9">
        <f>IFERROR(VLOOKUP(H11,Lookup_Tables!$D$4:$E$11,2,FALSE),2)</f>
        <v/>
      </c>
      <c r="W11" s="9">
        <f>IFERROR(VLOOKUP(I11,Lookup_Tables!$D$4:$E$11,2,FALSE),2)</f>
        <v/>
      </c>
      <c r="X11" s="13">
        <f>ROUND((D11*Controls!$B$4)+(G11*Controls!$B$5)+(S11*Controls!$B$6)+(T11*Controls!$B$7)+(U11*Controls!$B$8)+(MAX(V11,W11)*Controls!$B$9),2)</f>
        <v/>
      </c>
      <c r="Y11">
        <f>IF(AD11="Bulk","A",IF(X11&gt;=Controls!$B$10,"A",IF(X11&gt;=Controls!$B$11,"B","C")))</f>
        <v/>
      </c>
      <c r="Z11" s="9">
        <f>IF(OR(D11&gt;=4,G11&gt;=4),1,IF(X11&gt;=Controls!$B$11,2,3))</f>
        <v/>
      </c>
      <c r="AA11">
        <f>IF(OR(D11&gt;=4,G11&gt;=4),"Front",IF(X11&gt;=Controls!$B$11,"Middle","Back"))</f>
        <v/>
      </c>
      <c r="AB11">
        <f>IF(P11="Fits",R11,"Manual Review")</f>
        <v/>
      </c>
      <c r="AC11">
        <f>IF(AD11="Bulk","Bulk / heavy item -&gt; lower level priority",IF(P11&lt;&gt;"Fits","Review cube fit before assigning location",IF(AND(D11&gt;=4,G11&gt;=4),"High usage + high flow -&gt; front-access priority",IF(X11&gt;=Controls!$B$11,"Medium priority item -&gt; standard access","Low priority / reserve storage"))))</f>
        <v/>
      </c>
      <c r="AD11">
        <f>IF(OR(C11="Bulk",F11&gt;=Controls!$B$12),"Bulk","Non-Bulk")</f>
        <v/>
      </c>
      <c r="AF11">
        <f>RANK(X11,$X$4:$X$18,0)+COUNTIF($X$4:X11,X11)-1</f>
        <v/>
      </c>
      <c r="AG11">
        <f>IFERROR(VLOOKUP(A11,Lookup_Tables!$L$4:$M$18,2,FALSE),"FOOD")</f>
        <v/>
      </c>
      <c r="AH11">
        <f>IF(AF11&lt;=5,"Premium",IF(AF11&lt;=11,"Standard","Reserve"))</f>
        <v/>
      </c>
      <c r="AI11">
        <f>IF(AH11="Premium",IF(AG11="GIK","GIK-A"&amp;MOD(AF11-1,3)+1&amp;"-Front",IF(AG11="FOOD","FOOD-A"&amp;MOD(AF11-1,3)+1&amp;"-Front",IF(AG11="ADDITIONS","ADD-A"&amp;MOD(AF11-1,2)+1&amp;"-Front","GAR-A"&amp;MOD(AF11-1,2)+1&amp;"-Front"))),IF(AH11="Standard",IF(AG11="GIK","GIK-B"&amp;MOD(AF11-1,3)+1&amp;"-Middle",IF(AG11="FOOD","FOOD-B"&amp;MOD(AF11-1,3)+1&amp;"-Middle",IF(AG11="ADDITIONS","ADD-B"&amp;MOD(AF11-1,2)+1&amp;"-Middle","GAR-B"&amp;MOD(AF11-1,2)+1&amp;"-Middle"))),IF(AG11="GIK","GIK-C"&amp;MOD(AF11-1,3)+1&amp;"-Back",IF(AG11="FOOD","FOOD-C"&amp;MOD(AF11-1,3)+1&amp;"-Back",IF(AG11="ADDITIONS","ADD-C"&amp;MOD(AF11-1,2)+1&amp;"-Back","GAR-C"&amp;MOD(AF11-1,2)+1&amp;"-Back")))))</f>
        <v/>
      </c>
      <c r="AJ11">
        <f>IF(J11=AI11,"Keep in place",IF(LEFT(J11,3)=LEFT(AI11,3),"Re-slot within same zone","Move to "&amp;AG11&amp;" based on flow, capacity, and layout logic"))</f>
        <v/>
      </c>
      <c r="AK11">
        <f>IF(AH11="Premium",AF11,IF(AH11="Standard",AF11-5,AF11-11))</f>
        <v/>
      </c>
      <c r="AL11">
        <f>IF(AH11="Premium",AG11&amp;"-A"&amp;MOD(AK11-1,3)+1&amp;"-Front",IF(AH11="Standard",AG11&amp;"-B"&amp;MOD(AK11-1,3)+1&amp;"-Middle",AG11&amp;"-C"&amp;MOD(AK11-1,3)+1&amp;"-Back"))</f>
        <v/>
      </c>
      <c r="AM11">
        <f>IF(AH11="Premium","Premium item distributed across A1/A2/A3 by rank to avoid overloading one slot",IF(AH11="Standard","Standard item distributed across B1/B2/B3 by rank","Reserve item distributed across C1/C2/C3 by rank"))</f>
        <v/>
      </c>
      <c r="AN11">
        <f>MOD(AK11-1,9)+1</f>
        <v/>
      </c>
      <c r="AO11">
        <f>IF(AN11=1,AG11&amp;"-A1-Front",IF(AN11=2,AG11&amp;"-B1-Front",IF(AN11=3,AG11&amp;"-C1-Front",IF(AN11=4,AG11&amp;"-A2-Middle",IF(AN11=5,AG11&amp;"-B2-Middle",IF(AN11=6,AG11&amp;"-A3-Back",IF(AN11=7,AG11&amp;"-B3-Back",IF(AN11=8,AG11&amp;"-C2-Middle",AG11&amp;"-C3-Back"))))))))</f>
        <v/>
      </c>
      <c r="AP11">
        <f>IF(AH11="Premium","Premium item positioned by score rank within premium bucket",IF(AH11="Standard","Standard item positioned by score rank within standard bucket","Reserve item positioned by score rank within reserve bucket"))</f>
        <v/>
      </c>
    </row>
    <row r="12">
      <c r="A12" t="inlineStr">
        <is>
          <t>Peaches</t>
        </is>
      </c>
      <c r="B12" t="inlineStr">
        <is>
          <t>Food</t>
        </is>
      </c>
      <c r="C12" t="inlineStr">
        <is>
          <t>Food</t>
        </is>
      </c>
      <c r="D12" s="18" t="n">
        <v>2</v>
      </c>
      <c r="E12" s="18" t="n">
        <v>85</v>
      </c>
      <c r="F12" s="18" t="n">
        <v>130</v>
      </c>
      <c r="G12" s="18" t="n">
        <v>2</v>
      </c>
      <c r="H12" t="inlineStr">
        <is>
          <t>Weekly</t>
        </is>
      </c>
      <c r="I12" t="inlineStr">
        <is>
          <t>Weekly</t>
        </is>
      </c>
      <c r="J12" t="inlineStr">
        <is>
          <t>C3-Back</t>
        </is>
      </c>
      <c r="K12">
        <f>Controls!$B$22</f>
        <v/>
      </c>
      <c r="L12">
        <f>Controls!$B$20</f>
        <v/>
      </c>
      <c r="M12">
        <f>Controls!$B$21</f>
        <v/>
      </c>
      <c r="N12">
        <f>ROUND(K12*(L12/12)*(M12/12),2)</f>
        <v/>
      </c>
      <c r="O12">
        <f>IFERROR(VLOOKUP(C12,Lookup_Tables!$G$4:$H$7,2,FALSE),35)</f>
        <v/>
      </c>
      <c r="P12">
        <f>IF(O12&lt;=N12,"Fits","Review")</f>
        <v/>
      </c>
      <c r="Q12">
        <f>ROUND(O12/N12,3)</f>
        <v/>
      </c>
      <c r="R12">
        <f>Y12&amp;Z12&amp;"-"&amp;AA12</f>
        <v/>
      </c>
      <c r="S12" s="9">
        <f>IF(E12&gt;=1000,5,IF(E12&gt;=500,4,IF(E12&gt;=250,3,IF(E12&gt;=100,2,1))))</f>
        <v/>
      </c>
      <c r="T12" s="9">
        <f>IF(F12&gt;=1000,5,IF(F12&gt;=500,4,IF(F12&gt;=250,3,IF(F12&gt;=100,2,1))))</f>
        <v/>
      </c>
      <c r="U12" s="9">
        <f>IFERROR(VLOOKUP(C12,Lookup_Tables!$A$4:$B$8,2,FALSE),3)</f>
        <v/>
      </c>
      <c r="V12" s="9">
        <f>IFERROR(VLOOKUP(H12,Lookup_Tables!$D$4:$E$11,2,FALSE),2)</f>
        <v/>
      </c>
      <c r="W12" s="9">
        <f>IFERROR(VLOOKUP(I12,Lookup_Tables!$D$4:$E$11,2,FALSE),2)</f>
        <v/>
      </c>
      <c r="X12" s="13">
        <f>ROUND((D12*Controls!$B$4)+(G12*Controls!$B$5)+(S12*Controls!$B$6)+(T12*Controls!$B$7)+(U12*Controls!$B$8)+(MAX(V12,W12)*Controls!$B$9),2)</f>
        <v/>
      </c>
      <c r="Y12">
        <f>IF(AD12="Bulk","A",IF(X12&gt;=Controls!$B$10,"A",IF(X12&gt;=Controls!$B$11,"B","C")))</f>
        <v/>
      </c>
      <c r="Z12" s="9">
        <f>IF(OR(D12&gt;=4,G12&gt;=4),1,IF(X12&gt;=Controls!$B$11,2,3))</f>
        <v/>
      </c>
      <c r="AA12">
        <f>IF(OR(D12&gt;=4,G12&gt;=4),"Front",IF(X12&gt;=Controls!$B$11,"Middle","Back"))</f>
        <v/>
      </c>
      <c r="AB12">
        <f>IF(P12="Fits",R12,"Manual Review")</f>
        <v/>
      </c>
      <c r="AC12">
        <f>IF(AD12="Bulk","Bulk / heavy item -&gt; lower level priority",IF(P12&lt;&gt;"Fits","Review cube fit before assigning location",IF(AND(D12&gt;=4,G12&gt;=4),"High usage + high flow -&gt; front-access priority",IF(X12&gt;=Controls!$B$11,"Medium priority item -&gt; standard access","Low priority / reserve storage"))))</f>
        <v/>
      </c>
      <c r="AD12">
        <f>IF(OR(C12="Bulk",F12&gt;=Controls!$B$12),"Bulk","Non-Bulk")</f>
        <v/>
      </c>
      <c r="AF12">
        <f>RANK(X12,$X$4:$X$18,0)+COUNTIF($X$4:X12,X12)-1</f>
        <v/>
      </c>
      <c r="AG12">
        <f>IFERROR(VLOOKUP(A12,Lookup_Tables!$L$4:$M$18,2,FALSE),"FOOD")</f>
        <v/>
      </c>
      <c r="AH12">
        <f>IF(AF12&lt;=5,"Premium",IF(AF12&lt;=11,"Standard","Reserve"))</f>
        <v/>
      </c>
      <c r="AI12">
        <f>IF(AH12="Premium",IF(AG12="GIK","GIK-A"&amp;MOD(AF12-1,3)+1&amp;"-Front",IF(AG12="FOOD","FOOD-A"&amp;MOD(AF12-1,3)+1&amp;"-Front",IF(AG12="ADDITIONS","ADD-A"&amp;MOD(AF12-1,2)+1&amp;"-Front","GAR-A"&amp;MOD(AF12-1,2)+1&amp;"-Front"))),IF(AH12="Standard",IF(AG12="GIK","GIK-B"&amp;MOD(AF12-1,3)+1&amp;"-Middle",IF(AG12="FOOD","FOOD-B"&amp;MOD(AF12-1,3)+1&amp;"-Middle",IF(AG12="ADDITIONS","ADD-B"&amp;MOD(AF12-1,2)+1&amp;"-Middle","GAR-B"&amp;MOD(AF12-1,2)+1&amp;"-Middle"))),IF(AG12="GIK","GIK-C"&amp;MOD(AF12-1,3)+1&amp;"-Back",IF(AG12="FOOD","FOOD-C"&amp;MOD(AF12-1,3)+1&amp;"-Back",IF(AG12="ADDITIONS","ADD-C"&amp;MOD(AF12-1,2)+1&amp;"-Back","GAR-C"&amp;MOD(AF12-1,2)+1&amp;"-Back")))))</f>
        <v/>
      </c>
      <c r="AJ12">
        <f>IF(J12=AI12,"Keep in place",IF(LEFT(J12,3)=LEFT(AI12,3),"Re-slot within same zone","Move to "&amp;AG12&amp;" based on flow, capacity, and layout logic"))</f>
        <v/>
      </c>
      <c r="AK12">
        <f>IF(AH12="Premium",AF12,IF(AH12="Standard",AF12-5,AF12-11))</f>
        <v/>
      </c>
      <c r="AL12">
        <f>IF(AH12="Premium",AG12&amp;"-A"&amp;MOD(AK12-1,3)+1&amp;"-Front",IF(AH12="Standard",AG12&amp;"-B"&amp;MOD(AK12-1,3)+1&amp;"-Middle",AG12&amp;"-C"&amp;MOD(AK12-1,3)+1&amp;"-Back"))</f>
        <v/>
      </c>
      <c r="AM12">
        <f>IF(AH12="Premium","Premium item distributed across A1/A2/A3 by rank to avoid overloading one slot",IF(AH12="Standard","Standard item distributed across B1/B2/B3 by rank","Reserve item distributed across C1/C2/C3 by rank"))</f>
        <v/>
      </c>
      <c r="AN12">
        <f>MOD(AK12-1,9)+1</f>
        <v/>
      </c>
      <c r="AO12">
        <f>IF(AN12=1,AG12&amp;"-A1-Front",IF(AN12=2,AG12&amp;"-B1-Front",IF(AN12=3,AG12&amp;"-C1-Front",IF(AN12=4,AG12&amp;"-A2-Middle",IF(AN12=5,AG12&amp;"-B2-Middle",IF(AN12=6,AG12&amp;"-A3-Back",IF(AN12=7,AG12&amp;"-B3-Back",IF(AN12=8,AG12&amp;"-C2-Middle",AG12&amp;"-C3-Back"))))))))</f>
        <v/>
      </c>
      <c r="AP12">
        <f>IF(AH12="Premium","Premium item positioned by score rank within premium bucket",IF(AH12="Standard","Standard item positioned by score rank within standard bucket","Reserve item positioned by score rank within reserve bucket"))</f>
        <v/>
      </c>
    </row>
    <row r="13">
      <c r="A13" t="inlineStr">
        <is>
          <t>Chili - Beef</t>
        </is>
      </c>
      <c r="B13" t="inlineStr">
        <is>
          <t>Food</t>
        </is>
      </c>
      <c r="C13" t="inlineStr">
        <is>
          <t>Food</t>
        </is>
      </c>
      <c r="D13" s="18" t="n">
        <v>4</v>
      </c>
      <c r="E13" s="18" t="n">
        <v>96</v>
      </c>
      <c r="F13" s="18" t="n">
        <v>180</v>
      </c>
      <c r="G13" s="18" t="n">
        <v>4</v>
      </c>
      <c r="H13" t="inlineStr">
        <is>
          <t>Weekly</t>
        </is>
      </c>
      <c r="I13" t="inlineStr">
        <is>
          <t>Daily</t>
        </is>
      </c>
      <c r="J13" t="inlineStr">
        <is>
          <t>B3-Back</t>
        </is>
      </c>
      <c r="K13">
        <f>Controls!$B$22</f>
        <v/>
      </c>
      <c r="L13">
        <f>Controls!$B$20</f>
        <v/>
      </c>
      <c r="M13">
        <f>Controls!$B$21</f>
        <v/>
      </c>
      <c r="N13">
        <f>ROUND(K13*(L13/12)*(M13/12),2)</f>
        <v/>
      </c>
      <c r="O13">
        <f>IFERROR(VLOOKUP(C13,Lookup_Tables!$G$4:$H$7,2,FALSE),35)</f>
        <v/>
      </c>
      <c r="P13">
        <f>IF(O13&lt;=N13,"Fits","Review")</f>
        <v/>
      </c>
      <c r="Q13">
        <f>ROUND(O13/N13,3)</f>
        <v/>
      </c>
      <c r="R13">
        <f>Y13&amp;Z13&amp;"-"&amp;AA13</f>
        <v/>
      </c>
      <c r="S13" s="9">
        <f>IF(E13&gt;=1000,5,IF(E13&gt;=500,4,IF(E13&gt;=250,3,IF(E13&gt;=100,2,1))))</f>
        <v/>
      </c>
      <c r="T13" s="9">
        <f>IF(F13&gt;=1000,5,IF(F13&gt;=500,4,IF(F13&gt;=250,3,IF(F13&gt;=100,2,1))))</f>
        <v/>
      </c>
      <c r="U13" s="9">
        <f>IFERROR(VLOOKUP(C13,Lookup_Tables!$A$4:$B$8,2,FALSE),3)</f>
        <v/>
      </c>
      <c r="V13" s="9">
        <f>IFERROR(VLOOKUP(H13,Lookup_Tables!$D$4:$E$11,2,FALSE),2)</f>
        <v/>
      </c>
      <c r="W13" s="9">
        <f>IFERROR(VLOOKUP(I13,Lookup_Tables!$D$4:$E$11,2,FALSE),2)</f>
        <v/>
      </c>
      <c r="X13" s="13">
        <f>ROUND((D13*Controls!$B$4)+(G13*Controls!$B$5)+(S13*Controls!$B$6)+(T13*Controls!$B$7)+(U13*Controls!$B$8)+(MAX(V13,W13)*Controls!$B$9),2)</f>
        <v/>
      </c>
      <c r="Y13">
        <f>IF(AD13="Bulk","A",IF(X13&gt;=Controls!$B$10,"A",IF(X13&gt;=Controls!$B$11,"B","C")))</f>
        <v/>
      </c>
      <c r="Z13" s="9">
        <f>IF(OR(D13&gt;=4,G13&gt;=4),1,IF(X13&gt;=Controls!$B$11,2,3))</f>
        <v/>
      </c>
      <c r="AA13">
        <f>IF(OR(D13&gt;=4,G13&gt;=4),"Front",IF(X13&gt;=Controls!$B$11,"Middle","Back"))</f>
        <v/>
      </c>
      <c r="AB13">
        <f>IF(P13="Fits",R13,"Manual Review")</f>
        <v/>
      </c>
      <c r="AC13">
        <f>IF(AD13="Bulk","Bulk / heavy item -&gt; lower level priority",IF(P13&lt;&gt;"Fits","Review cube fit before assigning location",IF(AND(D13&gt;=4,G13&gt;=4),"High usage + high flow -&gt; front-access priority",IF(X13&gt;=Controls!$B$11,"Medium priority item -&gt; standard access","Low priority / reserve storage"))))</f>
        <v/>
      </c>
      <c r="AD13">
        <f>IF(OR(C13="Bulk",F13&gt;=Controls!$B$12),"Bulk","Non-Bulk")</f>
        <v/>
      </c>
      <c r="AF13">
        <f>RANK(X13,$X$4:$X$18,0)+COUNTIF($X$4:X13,X13)-1</f>
        <v/>
      </c>
      <c r="AG13">
        <f>IFERROR(VLOOKUP(A13,Lookup_Tables!$L$4:$M$18,2,FALSE),"FOOD")</f>
        <v/>
      </c>
      <c r="AH13">
        <f>IF(AF13&lt;=5,"Premium",IF(AF13&lt;=11,"Standard","Reserve"))</f>
        <v/>
      </c>
      <c r="AI13">
        <f>IF(AH13="Premium",IF(AG13="GIK","GIK-A"&amp;MOD(AF13-1,3)+1&amp;"-Front",IF(AG13="FOOD","FOOD-A"&amp;MOD(AF13-1,3)+1&amp;"-Front",IF(AG13="ADDITIONS","ADD-A"&amp;MOD(AF13-1,2)+1&amp;"-Front","GAR-A"&amp;MOD(AF13-1,2)+1&amp;"-Front"))),IF(AH13="Standard",IF(AG13="GIK","GIK-B"&amp;MOD(AF13-1,3)+1&amp;"-Middle",IF(AG13="FOOD","FOOD-B"&amp;MOD(AF13-1,3)+1&amp;"-Middle",IF(AG13="ADDITIONS","ADD-B"&amp;MOD(AF13-1,2)+1&amp;"-Middle","GAR-B"&amp;MOD(AF13-1,2)+1&amp;"-Middle"))),IF(AG13="GIK","GIK-C"&amp;MOD(AF13-1,3)+1&amp;"-Back",IF(AG13="FOOD","FOOD-C"&amp;MOD(AF13-1,3)+1&amp;"-Back",IF(AG13="ADDITIONS","ADD-C"&amp;MOD(AF13-1,2)+1&amp;"-Back","GAR-C"&amp;MOD(AF13-1,2)+1&amp;"-Back")))))</f>
        <v/>
      </c>
      <c r="AJ13">
        <f>IF(J13=AI13,"Keep in place",IF(LEFT(J13,3)=LEFT(AI13,3),"Re-slot within same zone","Move to "&amp;AG13&amp;" based on flow, capacity, and layout logic"))</f>
        <v/>
      </c>
      <c r="AK13">
        <f>IF(AH13="Premium",AF13,IF(AH13="Standard",AF13-5,AF13-11))</f>
        <v/>
      </c>
      <c r="AL13">
        <f>IF(AH13="Premium",AG13&amp;"-A"&amp;MOD(AK13-1,3)+1&amp;"-Front",IF(AH13="Standard",AG13&amp;"-B"&amp;MOD(AK13-1,3)+1&amp;"-Middle",AG13&amp;"-C"&amp;MOD(AK13-1,3)+1&amp;"-Back"))</f>
        <v/>
      </c>
      <c r="AM13">
        <f>IF(AH13="Premium","Premium item distributed across A1/A2/A3 by rank to avoid overloading one slot",IF(AH13="Standard","Standard item distributed across B1/B2/B3 by rank","Reserve item distributed across C1/C2/C3 by rank"))</f>
        <v/>
      </c>
      <c r="AN13">
        <f>MOD(AK13-1,9)+1</f>
        <v/>
      </c>
      <c r="AO13">
        <f>IF(AN13=1,AG13&amp;"-A1-Front",IF(AN13=2,AG13&amp;"-B1-Front",IF(AN13=3,AG13&amp;"-C1-Front",IF(AN13=4,AG13&amp;"-A2-Middle",IF(AN13=5,AG13&amp;"-B2-Middle",IF(AN13=6,AG13&amp;"-A3-Back",IF(AN13=7,AG13&amp;"-B3-Back",IF(AN13=8,AG13&amp;"-C2-Middle",AG13&amp;"-C3-Back"))))))))</f>
        <v/>
      </c>
      <c r="AP13">
        <f>IF(AH13="Premium","Premium item positioned by score rank within premium bucket",IF(AH13="Standard","Standard item positioned by score rank within standard bucket","Reserve item positioned by score rank within reserve bucket"))</f>
        <v/>
      </c>
    </row>
    <row r="14">
      <c r="A14" t="inlineStr">
        <is>
          <t>Mixed Vegetables</t>
        </is>
      </c>
      <c r="B14" t="inlineStr">
        <is>
          <t>Food</t>
        </is>
      </c>
      <c r="C14" t="inlineStr">
        <is>
          <t>Food</t>
        </is>
      </c>
      <c r="D14" s="18" t="n">
        <v>3</v>
      </c>
      <c r="E14" s="18" t="n">
        <v>85</v>
      </c>
      <c r="F14" s="18" t="n">
        <v>120</v>
      </c>
      <c r="G14" s="18" t="n">
        <v>3</v>
      </c>
      <c r="H14" t="inlineStr">
        <is>
          <t>Weekly</t>
        </is>
      </c>
      <c r="I14" t="inlineStr">
        <is>
          <t>Weekly</t>
        </is>
      </c>
      <c r="J14" t="inlineStr">
        <is>
          <t>C3-Middle</t>
        </is>
      </c>
      <c r="K14">
        <f>Controls!$B$22</f>
        <v/>
      </c>
      <c r="L14">
        <f>Controls!$B$20</f>
        <v/>
      </c>
      <c r="M14">
        <f>Controls!$B$21</f>
        <v/>
      </c>
      <c r="N14">
        <f>ROUND(K14*(L14/12)*(M14/12),2)</f>
        <v/>
      </c>
      <c r="O14">
        <f>IFERROR(VLOOKUP(C14,Lookup_Tables!$G$4:$H$7,2,FALSE),35)</f>
        <v/>
      </c>
      <c r="P14">
        <f>IF(O14&lt;=N14,"Fits","Review")</f>
        <v/>
      </c>
      <c r="Q14">
        <f>ROUND(O14/N14,3)</f>
        <v/>
      </c>
      <c r="R14">
        <f>Y14&amp;Z14&amp;"-"&amp;AA14</f>
        <v/>
      </c>
      <c r="S14" s="9">
        <f>IF(E14&gt;=1000,5,IF(E14&gt;=500,4,IF(E14&gt;=250,3,IF(E14&gt;=100,2,1))))</f>
        <v/>
      </c>
      <c r="T14" s="9">
        <f>IF(F14&gt;=1000,5,IF(F14&gt;=500,4,IF(F14&gt;=250,3,IF(F14&gt;=100,2,1))))</f>
        <v/>
      </c>
      <c r="U14" s="9">
        <f>IFERROR(VLOOKUP(C14,Lookup_Tables!$A$4:$B$8,2,FALSE),3)</f>
        <v/>
      </c>
      <c r="V14" s="9">
        <f>IFERROR(VLOOKUP(H14,Lookup_Tables!$D$4:$E$11,2,FALSE),2)</f>
        <v/>
      </c>
      <c r="W14" s="9">
        <f>IFERROR(VLOOKUP(I14,Lookup_Tables!$D$4:$E$11,2,FALSE),2)</f>
        <v/>
      </c>
      <c r="X14" s="13">
        <f>ROUND((D14*Controls!$B$4)+(G14*Controls!$B$5)+(S14*Controls!$B$6)+(T14*Controls!$B$7)+(U14*Controls!$B$8)+(MAX(V14,W14)*Controls!$B$9),2)</f>
        <v/>
      </c>
      <c r="Y14">
        <f>IF(AD14="Bulk","A",IF(X14&gt;=Controls!$B$10,"A",IF(X14&gt;=Controls!$B$11,"B","C")))</f>
        <v/>
      </c>
      <c r="Z14" s="9">
        <f>IF(OR(D14&gt;=4,G14&gt;=4),1,IF(X14&gt;=Controls!$B$11,2,3))</f>
        <v/>
      </c>
      <c r="AA14">
        <f>IF(OR(D14&gt;=4,G14&gt;=4),"Front",IF(X14&gt;=Controls!$B$11,"Middle","Back"))</f>
        <v/>
      </c>
      <c r="AB14">
        <f>IF(P14="Fits",R14,"Manual Review")</f>
        <v/>
      </c>
      <c r="AC14">
        <f>IF(AD14="Bulk","Bulk / heavy item -&gt; lower level priority",IF(P14&lt;&gt;"Fits","Review cube fit before assigning location",IF(AND(D14&gt;=4,G14&gt;=4),"High usage + high flow -&gt; front-access priority",IF(X14&gt;=Controls!$B$11,"Medium priority item -&gt; standard access","Low priority / reserve storage"))))</f>
        <v/>
      </c>
      <c r="AD14">
        <f>IF(OR(C14="Bulk",F14&gt;=Controls!$B$12),"Bulk","Non-Bulk")</f>
        <v/>
      </c>
      <c r="AF14">
        <f>RANK(X14,$X$4:$X$18,0)+COUNTIF($X$4:X14,X14)-1</f>
        <v/>
      </c>
      <c r="AG14">
        <f>IFERROR(VLOOKUP(A14,Lookup_Tables!$L$4:$M$18,2,FALSE),"FOOD")</f>
        <v/>
      </c>
      <c r="AH14">
        <f>IF(AF14&lt;=5,"Premium",IF(AF14&lt;=11,"Standard","Reserve"))</f>
        <v/>
      </c>
      <c r="AI14">
        <f>IF(AH14="Premium",IF(AG14="GIK","GIK-A"&amp;MOD(AF14-1,3)+1&amp;"-Front",IF(AG14="FOOD","FOOD-A"&amp;MOD(AF14-1,3)+1&amp;"-Front",IF(AG14="ADDITIONS","ADD-A"&amp;MOD(AF14-1,2)+1&amp;"-Front","GAR-A"&amp;MOD(AF14-1,2)+1&amp;"-Front"))),IF(AH14="Standard",IF(AG14="GIK","GIK-B"&amp;MOD(AF14-1,3)+1&amp;"-Middle",IF(AG14="FOOD","FOOD-B"&amp;MOD(AF14-1,3)+1&amp;"-Middle",IF(AG14="ADDITIONS","ADD-B"&amp;MOD(AF14-1,2)+1&amp;"-Middle","GAR-B"&amp;MOD(AF14-1,2)+1&amp;"-Middle"))),IF(AG14="GIK","GIK-C"&amp;MOD(AF14-1,3)+1&amp;"-Back",IF(AG14="FOOD","FOOD-C"&amp;MOD(AF14-1,3)+1&amp;"-Back",IF(AG14="ADDITIONS","ADD-C"&amp;MOD(AF14-1,2)+1&amp;"-Back","GAR-C"&amp;MOD(AF14-1,2)+1&amp;"-Back")))))</f>
        <v/>
      </c>
      <c r="AJ14">
        <f>IF(J14=AI14,"Keep in place",IF(LEFT(J14,3)=LEFT(AI14,3),"Re-slot within same zone","Move to "&amp;AG14&amp;" based on flow, capacity, and layout logic"))</f>
        <v/>
      </c>
      <c r="AK14">
        <f>IF(AH14="Premium",AF14,IF(AH14="Standard",AF14-5,AF14-11))</f>
        <v/>
      </c>
      <c r="AL14">
        <f>IF(AH14="Premium",AG14&amp;"-A"&amp;MOD(AK14-1,3)+1&amp;"-Front",IF(AH14="Standard",AG14&amp;"-B"&amp;MOD(AK14-1,3)+1&amp;"-Middle",AG14&amp;"-C"&amp;MOD(AK14-1,3)+1&amp;"-Back"))</f>
        <v/>
      </c>
      <c r="AM14">
        <f>IF(AH14="Premium","Premium item distributed across A1/A2/A3 by rank to avoid overloading one slot",IF(AH14="Standard","Standard item distributed across B1/B2/B3 by rank","Reserve item distributed across C1/C2/C3 by rank"))</f>
        <v/>
      </c>
      <c r="AN14">
        <f>MOD(AK14-1,9)+1</f>
        <v/>
      </c>
      <c r="AO14">
        <f>IF(AN14=1,AG14&amp;"-A1-Front",IF(AN14=2,AG14&amp;"-B1-Front",IF(AN14=3,AG14&amp;"-C1-Front",IF(AN14=4,AG14&amp;"-A2-Middle",IF(AN14=5,AG14&amp;"-B2-Middle",IF(AN14=6,AG14&amp;"-A3-Back",IF(AN14=7,AG14&amp;"-B3-Back",IF(AN14=8,AG14&amp;"-C2-Middle",AG14&amp;"-C3-Back"))))))))</f>
        <v/>
      </c>
      <c r="AP14">
        <f>IF(AH14="Premium","Premium item positioned by score rank within premium bucket",IF(AH14="Standard","Standard item positioned by score rank within standard bucket","Reserve item positioned by score rank within reserve bucket"))</f>
        <v/>
      </c>
    </row>
    <row r="15">
      <c r="A15" t="inlineStr">
        <is>
          <t>Green Beans</t>
        </is>
      </c>
      <c r="B15" t="inlineStr">
        <is>
          <t>Food</t>
        </is>
      </c>
      <c r="C15" t="inlineStr">
        <is>
          <t>Food</t>
        </is>
      </c>
      <c r="D15" s="18" t="n">
        <v>3</v>
      </c>
      <c r="E15" s="18" t="n">
        <v>102</v>
      </c>
      <c r="F15" s="18" t="n">
        <v>150</v>
      </c>
      <c r="G15" s="18" t="n">
        <v>3</v>
      </c>
      <c r="H15" t="inlineStr">
        <is>
          <t>Weekly</t>
        </is>
      </c>
      <c r="I15" t="inlineStr">
        <is>
          <t>Weekly</t>
        </is>
      </c>
      <c r="J15" t="inlineStr">
        <is>
          <t>C2-Front</t>
        </is>
      </c>
      <c r="K15">
        <f>Controls!$B$22</f>
        <v/>
      </c>
      <c r="L15">
        <f>Controls!$B$20</f>
        <v/>
      </c>
      <c r="M15">
        <f>Controls!$B$21</f>
        <v/>
      </c>
      <c r="N15">
        <f>ROUND(K15*(L15/12)*(M15/12),2)</f>
        <v/>
      </c>
      <c r="O15">
        <f>IFERROR(VLOOKUP(C15,Lookup_Tables!$G$4:$H$7,2,FALSE),35)</f>
        <v/>
      </c>
      <c r="P15">
        <f>IF(O15&lt;=N15,"Fits","Review")</f>
        <v/>
      </c>
      <c r="Q15">
        <f>ROUND(O15/N15,3)</f>
        <v/>
      </c>
      <c r="R15">
        <f>Y15&amp;Z15&amp;"-"&amp;AA15</f>
        <v/>
      </c>
      <c r="S15" s="9">
        <f>IF(E15&gt;=1000,5,IF(E15&gt;=500,4,IF(E15&gt;=250,3,IF(E15&gt;=100,2,1))))</f>
        <v/>
      </c>
      <c r="T15" s="9">
        <f>IF(F15&gt;=1000,5,IF(F15&gt;=500,4,IF(F15&gt;=250,3,IF(F15&gt;=100,2,1))))</f>
        <v/>
      </c>
      <c r="U15" s="9">
        <f>IFERROR(VLOOKUP(C15,Lookup_Tables!$A$4:$B$8,2,FALSE),3)</f>
        <v/>
      </c>
      <c r="V15" s="9">
        <f>IFERROR(VLOOKUP(H15,Lookup_Tables!$D$4:$E$11,2,FALSE),2)</f>
        <v/>
      </c>
      <c r="W15" s="9">
        <f>IFERROR(VLOOKUP(I15,Lookup_Tables!$D$4:$E$11,2,FALSE),2)</f>
        <v/>
      </c>
      <c r="X15" s="13">
        <f>ROUND((D15*Controls!$B$4)+(G15*Controls!$B$5)+(S15*Controls!$B$6)+(T15*Controls!$B$7)+(U15*Controls!$B$8)+(MAX(V15,W15)*Controls!$B$9),2)</f>
        <v/>
      </c>
      <c r="Y15">
        <f>IF(AD15="Bulk","A",IF(X15&gt;=Controls!$B$10,"A",IF(X15&gt;=Controls!$B$11,"B","C")))</f>
        <v/>
      </c>
      <c r="Z15" s="9">
        <f>IF(OR(D15&gt;=4,G15&gt;=4),1,IF(X15&gt;=Controls!$B$11,2,3))</f>
        <v/>
      </c>
      <c r="AA15">
        <f>IF(OR(D15&gt;=4,G15&gt;=4),"Front",IF(X15&gt;=Controls!$B$11,"Middle","Back"))</f>
        <v/>
      </c>
      <c r="AB15">
        <f>IF(P15="Fits",R15,"Manual Review")</f>
        <v/>
      </c>
      <c r="AC15">
        <f>IF(AD15="Bulk","Bulk / heavy item -&gt; lower level priority",IF(P15&lt;&gt;"Fits","Review cube fit before assigning location",IF(AND(D15&gt;=4,G15&gt;=4),"High usage + high flow -&gt; front-access priority",IF(X15&gt;=Controls!$B$11,"Medium priority item -&gt; standard access","Low priority / reserve storage"))))</f>
        <v/>
      </c>
      <c r="AD15">
        <f>IF(OR(C15="Bulk",F15&gt;=Controls!$B$12),"Bulk","Non-Bulk")</f>
        <v/>
      </c>
      <c r="AF15">
        <f>RANK(X15,$X$4:$X$18,0)+COUNTIF($X$4:X15,X15)-1</f>
        <v/>
      </c>
      <c r="AG15">
        <f>IFERROR(VLOOKUP(A15,Lookup_Tables!$L$4:$M$18,2,FALSE),"FOOD")</f>
        <v/>
      </c>
      <c r="AH15">
        <f>IF(AF15&lt;=5,"Premium",IF(AF15&lt;=11,"Standard","Reserve"))</f>
        <v/>
      </c>
      <c r="AI15">
        <f>IF(AH15="Premium",IF(AG15="GIK","GIK-A"&amp;MOD(AF15-1,3)+1&amp;"-Front",IF(AG15="FOOD","FOOD-A"&amp;MOD(AF15-1,3)+1&amp;"-Front",IF(AG15="ADDITIONS","ADD-A"&amp;MOD(AF15-1,2)+1&amp;"-Front","GAR-A"&amp;MOD(AF15-1,2)+1&amp;"-Front"))),IF(AH15="Standard",IF(AG15="GIK","GIK-B"&amp;MOD(AF15-1,3)+1&amp;"-Middle",IF(AG15="FOOD","FOOD-B"&amp;MOD(AF15-1,3)+1&amp;"-Middle",IF(AG15="ADDITIONS","ADD-B"&amp;MOD(AF15-1,2)+1&amp;"-Middle","GAR-B"&amp;MOD(AF15-1,2)+1&amp;"-Middle"))),IF(AG15="GIK","GIK-C"&amp;MOD(AF15-1,3)+1&amp;"-Back",IF(AG15="FOOD","FOOD-C"&amp;MOD(AF15-1,3)+1&amp;"-Back",IF(AG15="ADDITIONS","ADD-C"&amp;MOD(AF15-1,2)+1&amp;"-Back","GAR-C"&amp;MOD(AF15-1,2)+1&amp;"-Back")))))</f>
        <v/>
      </c>
      <c r="AJ15">
        <f>IF(J15=AI15,"Keep in place",IF(LEFT(J15,3)=LEFT(AI15,3),"Re-slot within same zone","Move to "&amp;AG15&amp;" based on flow, capacity, and layout logic"))</f>
        <v/>
      </c>
      <c r="AK15">
        <f>IF(AH15="Premium",AF15,IF(AH15="Standard",AF15-5,AF15-11))</f>
        <v/>
      </c>
      <c r="AL15">
        <f>IF(AH15="Premium",AG15&amp;"-A"&amp;MOD(AK15-1,3)+1&amp;"-Front",IF(AH15="Standard",AG15&amp;"-B"&amp;MOD(AK15-1,3)+1&amp;"-Middle",AG15&amp;"-C"&amp;MOD(AK15-1,3)+1&amp;"-Back"))</f>
        <v/>
      </c>
      <c r="AM15">
        <f>IF(AH15="Premium","Premium item distributed across A1/A2/A3 by rank to avoid overloading one slot",IF(AH15="Standard","Standard item distributed across B1/B2/B3 by rank","Reserve item distributed across C1/C2/C3 by rank"))</f>
        <v/>
      </c>
      <c r="AN15">
        <f>MOD(AK15-1,9)+1</f>
        <v/>
      </c>
      <c r="AO15">
        <f>IF(AN15=1,AG15&amp;"-A1-Front",IF(AN15=2,AG15&amp;"-B1-Front",IF(AN15=3,AG15&amp;"-C1-Front",IF(AN15=4,AG15&amp;"-A2-Middle",IF(AN15=5,AG15&amp;"-B2-Middle",IF(AN15=6,AG15&amp;"-A3-Back",IF(AN15=7,AG15&amp;"-B3-Back",IF(AN15=8,AG15&amp;"-C2-Middle",AG15&amp;"-C3-Back"))))))))</f>
        <v/>
      </c>
      <c r="AP15">
        <f>IF(AH15="Premium","Premium item positioned by score rank within premium bucket",IF(AH15="Standard","Standard item positioned by score rank within standard bucket","Reserve item positioned by score rank within reserve bucket"))</f>
        <v/>
      </c>
    </row>
    <row r="16">
      <c r="A16" t="inlineStr">
        <is>
          <t>Chicken Leg Quarters</t>
        </is>
      </c>
      <c r="B16" t="inlineStr">
        <is>
          <t>Meat</t>
        </is>
      </c>
      <c r="C16" t="inlineStr">
        <is>
          <t>Meat</t>
        </is>
      </c>
      <c r="D16" s="18" t="n">
        <v>5</v>
      </c>
      <c r="E16" s="18" t="n">
        <v>960</v>
      </c>
      <c r="F16" s="18" t="n">
        <v>960</v>
      </c>
      <c r="G16" s="18" t="n">
        <v>5</v>
      </c>
      <c r="H16" t="inlineStr">
        <is>
          <t>Biweekly</t>
        </is>
      </c>
      <c r="I16" t="inlineStr">
        <is>
          <t>Daily</t>
        </is>
      </c>
      <c r="J16" t="inlineStr">
        <is>
          <t>B3-Front</t>
        </is>
      </c>
      <c r="K16">
        <f>Controls!$B$22</f>
        <v/>
      </c>
      <c r="L16">
        <f>Controls!$B$20</f>
        <v/>
      </c>
      <c r="M16">
        <f>Controls!$B$21</f>
        <v/>
      </c>
      <c r="N16">
        <f>ROUND(K16*(L16/12)*(M16/12),2)</f>
        <v/>
      </c>
      <c r="O16">
        <f>IFERROR(VLOOKUP(C16,Lookup_Tables!$G$4:$H$7,2,FALSE),35)</f>
        <v/>
      </c>
      <c r="P16">
        <f>IF(O16&lt;=N16,"Fits","Review")</f>
        <v/>
      </c>
      <c r="Q16">
        <f>ROUND(O16/N16,3)</f>
        <v/>
      </c>
      <c r="R16">
        <f>Y16&amp;Z16&amp;"-"&amp;AA16</f>
        <v/>
      </c>
      <c r="S16" s="9">
        <f>IF(E16&gt;=1000,5,IF(E16&gt;=500,4,IF(E16&gt;=250,3,IF(E16&gt;=100,2,1))))</f>
        <v/>
      </c>
      <c r="T16" s="9">
        <f>IF(F16&gt;=1000,5,IF(F16&gt;=500,4,IF(F16&gt;=250,3,IF(F16&gt;=100,2,1))))</f>
        <v/>
      </c>
      <c r="U16" s="9">
        <f>IFERROR(VLOOKUP(C16,Lookup_Tables!$A$4:$B$8,2,FALSE),3)</f>
        <v/>
      </c>
      <c r="V16" s="9">
        <f>IFERROR(VLOOKUP(H16,Lookup_Tables!$D$4:$E$11,2,FALSE),2)</f>
        <v/>
      </c>
      <c r="W16" s="9">
        <f>IFERROR(VLOOKUP(I16,Lookup_Tables!$D$4:$E$11,2,FALSE),2)</f>
        <v/>
      </c>
      <c r="X16" s="13">
        <f>ROUND((D16*Controls!$B$4)+(G16*Controls!$B$5)+(S16*Controls!$B$6)+(T16*Controls!$B$7)+(U16*Controls!$B$8)+(MAX(V16,W16)*Controls!$B$9),2)</f>
        <v/>
      </c>
      <c r="Y16">
        <f>IF(AD16="Bulk","A",IF(X16&gt;=Controls!$B$10,"A",IF(X16&gt;=Controls!$B$11,"B","C")))</f>
        <v/>
      </c>
      <c r="Z16" s="9">
        <f>IF(OR(D16&gt;=4,G16&gt;=4),1,IF(X16&gt;=Controls!$B$11,2,3))</f>
        <v/>
      </c>
      <c r="AA16">
        <f>IF(OR(D16&gt;=4,G16&gt;=4),"Front",IF(X16&gt;=Controls!$B$11,"Middle","Back"))</f>
        <v/>
      </c>
      <c r="AB16">
        <f>IF(P16="Fits",R16,"Manual Review")</f>
        <v/>
      </c>
      <c r="AC16">
        <f>IF(AD16="Bulk","Bulk / heavy item -&gt; lower level priority",IF(P16&lt;&gt;"Fits","Review cube fit before assigning location",IF(AND(D16&gt;=4,G16&gt;=4),"High usage + high flow -&gt; front-access priority",IF(X16&gt;=Controls!$B$11,"Medium priority item -&gt; standard access","Low priority / reserve storage"))))</f>
        <v/>
      </c>
      <c r="AD16">
        <f>IF(OR(C16="Bulk",F16&gt;=Controls!$B$12),"Bulk","Non-Bulk")</f>
        <v/>
      </c>
      <c r="AE16" t="inlineStr">
        <is>
          <t>Fresh/time-sensitive item assumed to move within 3 days.</t>
        </is>
      </c>
      <c r="AF16">
        <f>RANK(X16,$X$4:$X$18,0)+COUNTIF($X$4:X16,X16)-1</f>
        <v/>
      </c>
      <c r="AG16">
        <f>IFERROR(VLOOKUP(A16,Lookup_Tables!$L$4:$M$18,2,FALSE),"FOOD")</f>
        <v/>
      </c>
      <c r="AH16">
        <f>IF(AF16&lt;=5,"Premium",IF(AF16&lt;=11,"Standard","Reserve"))</f>
        <v/>
      </c>
      <c r="AI16">
        <f>IF(AH16="Premium",IF(AG16="GIK","GIK-A"&amp;MOD(AF16-1,3)+1&amp;"-Front",IF(AG16="FOOD","FOOD-A"&amp;MOD(AF16-1,3)+1&amp;"-Front",IF(AG16="ADDITIONS","ADD-A"&amp;MOD(AF16-1,2)+1&amp;"-Front","GAR-A"&amp;MOD(AF16-1,2)+1&amp;"-Front"))),IF(AH16="Standard",IF(AG16="GIK","GIK-B"&amp;MOD(AF16-1,3)+1&amp;"-Middle",IF(AG16="FOOD","FOOD-B"&amp;MOD(AF16-1,3)+1&amp;"-Middle",IF(AG16="ADDITIONS","ADD-B"&amp;MOD(AF16-1,2)+1&amp;"-Middle","GAR-B"&amp;MOD(AF16-1,2)+1&amp;"-Middle"))),IF(AG16="GIK","GIK-C"&amp;MOD(AF16-1,3)+1&amp;"-Back",IF(AG16="FOOD","FOOD-C"&amp;MOD(AF16-1,3)+1&amp;"-Back",IF(AG16="ADDITIONS","ADD-C"&amp;MOD(AF16-1,2)+1&amp;"-Back","GAR-C"&amp;MOD(AF16-1,2)+1&amp;"-Back")))))</f>
        <v/>
      </c>
      <c r="AJ16">
        <f>IF(J16=AI16,"Keep in place",IF(LEFT(J16,3)=LEFT(AI16,3),"Re-slot within same zone","Move to "&amp;AG16&amp;" based on flow, capacity, and layout logic"))</f>
        <v/>
      </c>
      <c r="AK16">
        <f>IF(AH16="Premium",AF16,IF(AH16="Standard",AF16-5,AF16-11))</f>
        <v/>
      </c>
      <c r="AL16">
        <f>IF(AH16="Premium",AG16&amp;"-A"&amp;MOD(AK16-1,3)+1&amp;"-Front",IF(AH16="Standard",AG16&amp;"-B"&amp;MOD(AK16-1,3)+1&amp;"-Middle",AG16&amp;"-C"&amp;MOD(AK16-1,3)+1&amp;"-Back"))</f>
        <v/>
      </c>
      <c r="AM16">
        <f>IF(AH16="Premium","Premium item distributed across A1/A2/A3 by rank to avoid overloading one slot",IF(AH16="Standard","Standard item distributed across B1/B2/B3 by rank","Reserve item distributed across C1/C2/C3 by rank"))</f>
        <v/>
      </c>
      <c r="AN16">
        <f>MOD(AK16-1,9)+1</f>
        <v/>
      </c>
      <c r="AO16">
        <f>IF(AN16=1,AG16&amp;"-A1-Front",IF(AN16=2,AG16&amp;"-B1-Front",IF(AN16=3,AG16&amp;"-C1-Front",IF(AN16=4,AG16&amp;"-A2-Middle",IF(AN16=5,AG16&amp;"-B2-Middle",IF(AN16=6,AG16&amp;"-A3-Back",IF(AN16=7,AG16&amp;"-B3-Back",IF(AN16=8,AG16&amp;"-C2-Middle",AG16&amp;"-C3-Back"))))))))</f>
        <v/>
      </c>
      <c r="AP16">
        <f>IF(AH16="Premium","Premium item positioned by score rank within premium bucket",IF(AH16="Standard","Standard item positioned by score rank within standard bucket","Reserve item positioned by score rank within reserve bucket"))</f>
        <v/>
      </c>
    </row>
    <row r="17">
      <c r="A17" t="inlineStr">
        <is>
          <t>Ground Beef</t>
        </is>
      </c>
      <c r="B17" t="inlineStr">
        <is>
          <t>Meat</t>
        </is>
      </c>
      <c r="C17" t="inlineStr">
        <is>
          <t>Meat</t>
        </is>
      </c>
      <c r="D17" s="18" t="n">
        <v>4</v>
      </c>
      <c r="E17" s="18" t="n">
        <v>19220</v>
      </c>
      <c r="F17" s="18" t="n">
        <v>4000</v>
      </c>
      <c r="G17" s="18" t="n">
        <v>5</v>
      </c>
      <c r="H17" t="inlineStr">
        <is>
          <t>Monthly</t>
        </is>
      </c>
      <c r="I17" t="inlineStr">
        <is>
          <t>Daily</t>
        </is>
      </c>
      <c r="J17" t="inlineStr">
        <is>
          <t>C1-Back</t>
        </is>
      </c>
      <c r="K17">
        <f>Controls!$B$22</f>
        <v/>
      </c>
      <c r="L17">
        <f>Controls!$B$20</f>
        <v/>
      </c>
      <c r="M17">
        <f>Controls!$B$21</f>
        <v/>
      </c>
      <c r="N17">
        <f>ROUND(K17*(L17/12)*(M17/12),2)</f>
        <v/>
      </c>
      <c r="O17">
        <f>IFERROR(VLOOKUP(C17,Lookup_Tables!$G$4:$H$7,2,FALSE),35)</f>
        <v/>
      </c>
      <c r="P17">
        <f>IF(O17&lt;=N17,"Fits","Review")</f>
        <v/>
      </c>
      <c r="Q17">
        <f>ROUND(O17/N17,3)</f>
        <v/>
      </c>
      <c r="R17">
        <f>Y17&amp;Z17&amp;"-"&amp;AA17</f>
        <v/>
      </c>
      <c r="S17" s="9">
        <f>IF(E17&gt;=1000,5,IF(E17&gt;=500,4,IF(E17&gt;=250,3,IF(E17&gt;=100,2,1))))</f>
        <v/>
      </c>
      <c r="T17" s="9">
        <f>IF(F17&gt;=1000,5,IF(F17&gt;=500,4,IF(F17&gt;=250,3,IF(F17&gt;=100,2,1))))</f>
        <v/>
      </c>
      <c r="U17" s="9">
        <f>IFERROR(VLOOKUP(C17,Lookup_Tables!$A$4:$B$8,2,FALSE),3)</f>
        <v/>
      </c>
      <c r="V17" s="9">
        <f>IFERROR(VLOOKUP(H17,Lookup_Tables!$D$4:$E$11,2,FALSE),2)</f>
        <v/>
      </c>
      <c r="W17" s="9">
        <f>IFERROR(VLOOKUP(I17,Lookup_Tables!$D$4:$E$11,2,FALSE),2)</f>
        <v/>
      </c>
      <c r="X17" s="13">
        <f>ROUND((D17*Controls!$B$4)+(G17*Controls!$B$5)+(S17*Controls!$B$6)+(T17*Controls!$B$7)+(U17*Controls!$B$8)+(MAX(V17,W17)*Controls!$B$9),2)</f>
        <v/>
      </c>
      <c r="Y17">
        <f>IF(AD17="Bulk","A",IF(X17&gt;=Controls!$B$10,"A",IF(X17&gt;=Controls!$B$11,"B","C")))</f>
        <v/>
      </c>
      <c r="Z17" s="9">
        <f>IF(OR(D17&gt;=4,G17&gt;=4),1,IF(X17&gt;=Controls!$B$11,2,3))</f>
        <v/>
      </c>
      <c r="AA17">
        <f>IF(OR(D17&gt;=4,G17&gt;=4),"Front",IF(X17&gt;=Controls!$B$11,"Middle","Back"))</f>
        <v/>
      </c>
      <c r="AB17">
        <f>IF(P17="Fits",R17,"Manual Review")</f>
        <v/>
      </c>
      <c r="AC17">
        <f>IF(AD17="Bulk","Bulk / heavy item -&gt; lower level priority",IF(P17&lt;&gt;"Fits","Review cube fit before assigning location",IF(AND(D17&gt;=4,G17&gt;=4),"High usage + high flow -&gt; front-access priority",IF(X17&gt;=Controls!$B$11,"Medium priority item -&gt; standard access","Low priority / reserve storage"))))</f>
        <v/>
      </c>
      <c r="AD17">
        <f>IF(OR(C17="Bulk",F17&gt;=Controls!$B$12),"Bulk","Non-Bulk")</f>
        <v/>
      </c>
      <c r="AE17" t="inlineStr">
        <is>
          <t>Fresh/time-sensitive item assumed to move within 3 days.</t>
        </is>
      </c>
      <c r="AF17">
        <f>RANK(X17,$X$4:$X$18,0)+COUNTIF($X$4:X17,X17)-1</f>
        <v/>
      </c>
      <c r="AG17">
        <f>IFERROR(VLOOKUP(A17,Lookup_Tables!$L$4:$M$18,2,FALSE),"FOOD")</f>
        <v/>
      </c>
      <c r="AH17">
        <f>IF(AF17&lt;=5,"Premium",IF(AF17&lt;=11,"Standard","Reserve"))</f>
        <v/>
      </c>
      <c r="AI17">
        <f>IF(AH17="Premium",IF(AG17="GIK","GIK-A"&amp;MOD(AF17-1,3)+1&amp;"-Front",IF(AG17="FOOD","FOOD-A"&amp;MOD(AF17-1,3)+1&amp;"-Front",IF(AG17="ADDITIONS","ADD-A"&amp;MOD(AF17-1,2)+1&amp;"-Front","GAR-A"&amp;MOD(AF17-1,2)+1&amp;"-Front"))),IF(AH17="Standard",IF(AG17="GIK","GIK-B"&amp;MOD(AF17-1,3)+1&amp;"-Middle",IF(AG17="FOOD","FOOD-B"&amp;MOD(AF17-1,3)+1&amp;"-Middle",IF(AG17="ADDITIONS","ADD-B"&amp;MOD(AF17-1,2)+1&amp;"-Middle","GAR-B"&amp;MOD(AF17-1,2)+1&amp;"-Middle"))),IF(AG17="GIK","GIK-C"&amp;MOD(AF17-1,3)+1&amp;"-Back",IF(AG17="FOOD","FOOD-C"&amp;MOD(AF17-1,3)+1&amp;"-Back",IF(AG17="ADDITIONS","ADD-C"&amp;MOD(AF17-1,2)+1&amp;"-Back","GAR-C"&amp;MOD(AF17-1,2)+1&amp;"-Back")))))</f>
        <v/>
      </c>
      <c r="AJ17">
        <f>IF(J17=AI17,"Keep in place",IF(LEFT(J17,3)=LEFT(AI17,3),"Re-slot within same zone","Move to "&amp;AG17&amp;" based on flow, capacity, and layout logic"))</f>
        <v/>
      </c>
      <c r="AK17">
        <f>IF(AH17="Premium",AF17,IF(AH17="Standard",AF17-5,AF17-11))</f>
        <v/>
      </c>
      <c r="AL17">
        <f>IF(AH17="Premium",AG17&amp;"-A"&amp;MOD(AK17-1,3)+1&amp;"-Front",IF(AH17="Standard",AG17&amp;"-B"&amp;MOD(AK17-1,3)+1&amp;"-Middle",AG17&amp;"-C"&amp;MOD(AK17-1,3)+1&amp;"-Back"))</f>
        <v/>
      </c>
      <c r="AM17">
        <f>IF(AH17="Premium","Premium item distributed across A1/A2/A3 by rank to avoid overloading one slot",IF(AH17="Standard","Standard item distributed across B1/B2/B3 by rank","Reserve item distributed across C1/C2/C3 by rank"))</f>
        <v/>
      </c>
      <c r="AN17">
        <f>MOD(AK17-1,9)+1</f>
        <v/>
      </c>
      <c r="AO17">
        <f>IF(AN17=1,AG17&amp;"-A1-Front",IF(AN17=2,AG17&amp;"-B1-Front",IF(AN17=3,AG17&amp;"-C1-Front",IF(AN17=4,AG17&amp;"-A2-Middle",IF(AN17=5,AG17&amp;"-B2-Middle",IF(AN17=6,AG17&amp;"-A3-Back",IF(AN17=7,AG17&amp;"-B3-Back",IF(AN17=8,AG17&amp;"-C2-Middle",AG17&amp;"-C3-Back"))))))))</f>
        <v/>
      </c>
      <c r="AP17">
        <f>IF(AH17="Premium","Premium item positioned by score rank within premium bucket",IF(AH17="Standard","Standard item positioned by score rank within standard bucket","Reserve item positioned by score rank within reserve bucket"))</f>
        <v/>
      </c>
    </row>
    <row r="18">
      <c r="A18" t="inlineStr">
        <is>
          <t>Macaroni in Tomato Sauce</t>
        </is>
      </c>
      <c r="B18" t="inlineStr">
        <is>
          <t>Food</t>
        </is>
      </c>
      <c r="C18" t="inlineStr">
        <is>
          <t>Food</t>
        </is>
      </c>
      <c r="D18" s="18" t="n">
        <v>4</v>
      </c>
      <c r="E18" s="18" t="n">
        <v>161</v>
      </c>
      <c r="F18" s="18" t="n">
        <v>220</v>
      </c>
      <c r="G18" s="18" t="n">
        <v>4</v>
      </c>
      <c r="H18" t="inlineStr">
        <is>
          <t>Weekly</t>
        </is>
      </c>
      <c r="I18" t="inlineStr">
        <is>
          <t>Daily</t>
        </is>
      </c>
      <c r="J18" t="inlineStr">
        <is>
          <t>B2-Back</t>
        </is>
      </c>
      <c r="K18">
        <f>Controls!$B$22</f>
        <v/>
      </c>
      <c r="L18">
        <f>Controls!$B$20</f>
        <v/>
      </c>
      <c r="M18">
        <f>Controls!$B$21</f>
        <v/>
      </c>
      <c r="N18">
        <f>ROUND(K18*(L18/12)*(M18/12),2)</f>
        <v/>
      </c>
      <c r="O18">
        <f>IFERROR(VLOOKUP(C18,Lookup_Tables!$G$4:$H$7,2,FALSE),35)</f>
        <v/>
      </c>
      <c r="P18">
        <f>IF(O18&lt;=N18,"Fits","Review")</f>
        <v/>
      </c>
      <c r="Q18">
        <f>ROUND(O18/N18,3)</f>
        <v/>
      </c>
      <c r="R18">
        <f>Y18&amp;Z18&amp;"-"&amp;AA18</f>
        <v/>
      </c>
      <c r="S18" s="9">
        <f>IF(E18&gt;=1000,5,IF(E18&gt;=500,4,IF(E18&gt;=250,3,IF(E18&gt;=100,2,1))))</f>
        <v/>
      </c>
      <c r="T18" s="9">
        <f>IF(F18&gt;=1000,5,IF(F18&gt;=500,4,IF(F18&gt;=250,3,IF(F18&gt;=100,2,1))))</f>
        <v/>
      </c>
      <c r="U18" s="9">
        <f>IFERROR(VLOOKUP(C18,Lookup_Tables!$A$4:$B$8,2,FALSE),3)</f>
        <v/>
      </c>
      <c r="V18" s="9">
        <f>IFERROR(VLOOKUP(H18,Lookup_Tables!$D$4:$E$11,2,FALSE),2)</f>
        <v/>
      </c>
      <c r="W18" s="9">
        <f>IFERROR(VLOOKUP(I18,Lookup_Tables!$D$4:$E$11,2,FALSE),2)</f>
        <v/>
      </c>
      <c r="X18" s="13">
        <f>ROUND((D18*Controls!$B$4)+(G18*Controls!$B$5)+(S18*Controls!$B$6)+(T18*Controls!$B$7)+(U18*Controls!$B$8)+(MAX(V18,W18)*Controls!$B$9),2)</f>
        <v/>
      </c>
      <c r="Y18">
        <f>IF(AD18="Bulk","A",IF(X18&gt;=Controls!$B$10,"A",IF(X18&gt;=Controls!$B$11,"B","C")))</f>
        <v/>
      </c>
      <c r="Z18" s="9">
        <f>IF(OR(D18&gt;=4,G18&gt;=4),1,IF(X18&gt;=Controls!$B$11,2,3))</f>
        <v/>
      </c>
      <c r="AA18">
        <f>IF(OR(D18&gt;=4,G18&gt;=4),"Front",IF(X18&gt;=Controls!$B$11,"Middle","Back"))</f>
        <v/>
      </c>
      <c r="AB18">
        <f>IF(P18="Fits",R18,"Manual Review")</f>
        <v/>
      </c>
      <c r="AC18">
        <f>IF(AD18="Bulk","Bulk / heavy item -&gt; lower level priority",IF(P18&lt;&gt;"Fits","Review cube fit before assigning location",IF(AND(D18&gt;=4,G18&gt;=4),"High usage + high flow -&gt; front-access priority",IF(X18&gt;=Controls!$B$11,"Medium priority item -&gt; standard access","Low priority / reserve storage"))))</f>
        <v/>
      </c>
      <c r="AD18">
        <f>IF(OR(C18="Bulk",F18&gt;=Controls!$B$12),"Bulk","Non-Bulk")</f>
        <v/>
      </c>
      <c r="AF18">
        <f>RANK(X18,$X$4:$X$18,0)+COUNTIF($X$4:X18,X18)-1</f>
        <v/>
      </c>
      <c r="AG18">
        <f>IFERROR(VLOOKUP(A18,Lookup_Tables!$L$4:$M$18,2,FALSE),"FOOD")</f>
        <v/>
      </c>
      <c r="AH18">
        <f>IF(AF18&lt;=5,"Premium",IF(AF18&lt;=11,"Standard","Reserve"))</f>
        <v/>
      </c>
      <c r="AI18">
        <f>IF(AH18="Premium",IF(AG18="GIK","GIK-A"&amp;MOD(AF18-1,3)+1&amp;"-Front",IF(AG18="FOOD","FOOD-A"&amp;MOD(AF18-1,3)+1&amp;"-Front",IF(AG18="ADDITIONS","ADD-A"&amp;MOD(AF18-1,2)+1&amp;"-Front","GAR-A"&amp;MOD(AF18-1,2)+1&amp;"-Front"))),IF(AH18="Standard",IF(AG18="GIK","GIK-B"&amp;MOD(AF18-1,3)+1&amp;"-Middle",IF(AG18="FOOD","FOOD-B"&amp;MOD(AF18-1,3)+1&amp;"-Middle",IF(AG18="ADDITIONS","ADD-B"&amp;MOD(AF18-1,2)+1&amp;"-Middle","GAR-B"&amp;MOD(AF18-1,2)+1&amp;"-Middle"))),IF(AG18="GIK","GIK-C"&amp;MOD(AF18-1,3)+1&amp;"-Back",IF(AG18="FOOD","FOOD-C"&amp;MOD(AF18-1,3)+1&amp;"-Back",IF(AG18="ADDITIONS","ADD-C"&amp;MOD(AF18-1,2)+1&amp;"-Back","GAR-C"&amp;MOD(AF18-1,2)+1&amp;"-Back")))))</f>
        <v/>
      </c>
      <c r="AJ18">
        <f>IF(J18=AI18,"Keep in place",IF(LEFT(J18,3)=LEFT(AI18,3),"Re-slot within same zone","Move to "&amp;AG18&amp;" based on flow, capacity, and layout logic"))</f>
        <v/>
      </c>
      <c r="AK18">
        <f>IF(AH18="Premium",AF18,IF(AH18="Standard",AF18-5,AF18-11))</f>
        <v/>
      </c>
      <c r="AL18">
        <f>IF(AH18="Premium",AG18&amp;"-A"&amp;MOD(AK18-1,3)+1&amp;"-Front",IF(AH18="Standard",AG18&amp;"-B"&amp;MOD(AK18-1,3)+1&amp;"-Middle",AG18&amp;"-C"&amp;MOD(AK18-1,3)+1&amp;"-Back"))</f>
        <v/>
      </c>
      <c r="AM18">
        <f>IF(AH18="Premium","Premium item distributed across A1/A2/A3 by rank to avoid overloading one slot",IF(AH18="Standard","Standard item distributed across B1/B2/B3 by rank","Reserve item distributed across C1/C2/C3 by rank"))</f>
        <v/>
      </c>
      <c r="AN18">
        <f>MOD(AK18-1,9)+1</f>
        <v/>
      </c>
      <c r="AO18">
        <f>IF(AN18=1,AG18&amp;"-A1-Front",IF(AN18=2,AG18&amp;"-B1-Front",IF(AN18=3,AG18&amp;"-C1-Front",IF(AN18=4,AG18&amp;"-A2-Middle",IF(AN18=5,AG18&amp;"-B2-Middle",IF(AN18=6,AG18&amp;"-A3-Back",IF(AN18=7,AG18&amp;"-B3-Back",IF(AN18=8,AG18&amp;"-C2-Middle",AG18&amp;"-C3-Back"))))))))</f>
        <v/>
      </c>
      <c r="AP18">
        <f>IF(AH18="Premium","Premium item positioned by score rank within premium bucket",IF(AH18="Standard","Standard item positioned by score rank within standard bucket","Reserve item positioned by score rank within reserve bucket"))</f>
        <v/>
      </c>
    </row>
    <row r="19">
      <c r="A19" t="inlineStr">
        <is>
          <t>Model Summary</t>
        </is>
      </c>
      <c r="B19" t="inlineStr">
        <is>
          <t>Items</t>
        </is>
      </c>
      <c r="C19">
        <f>COUNTA(A4:A18)</f>
        <v/>
      </c>
      <c r="D19" s="18" t="inlineStr">
        <is>
          <t>Re-slot</t>
        </is>
      </c>
      <c r="E19" s="18">
        <f>COUNTIF(AC4:AC18,"*priority*")+COUNTIF(AC4:AC18,"Review*")</f>
        <v/>
      </c>
      <c r="F19" s="18" t="inlineStr">
        <is>
          <t>Bulk Items</t>
        </is>
      </c>
      <c r="G19" s="18">
        <f>COUNTIF(AD4:AD18,"Bulk")</f>
        <v/>
      </c>
      <c r="H19" t="inlineStr">
        <is>
          <t>A-Level</t>
        </is>
      </c>
      <c r="I19">
        <f>COUNTIF(Y4:Y18,"A")</f>
        <v/>
      </c>
      <c r="K19">
        <f>Controls!$B$22</f>
        <v/>
      </c>
      <c r="L19">
        <f>Controls!$B$20</f>
        <v/>
      </c>
      <c r="M19">
        <f>Controls!$B$21</f>
        <v/>
      </c>
      <c r="N19">
        <f>ROUND(K19*(L19/12)*(M19/12),2)</f>
        <v/>
      </c>
      <c r="O19">
        <f>VLOOKUP(C19,Lookup_Tables!$G$4:$H$7,2,FALSE)</f>
        <v/>
      </c>
      <c r="P19">
        <f>IF(O19&lt;=N19,"Fits","Review")</f>
        <v/>
      </c>
      <c r="Q19">
        <f>ROUND(O19/N19,3)</f>
        <v/>
      </c>
      <c r="R19">
        <f>V19&amp;W19&amp;"-"&amp;X19</f>
        <v/>
      </c>
      <c r="S19" s="9">
        <f>IF(E19&gt;=1000,5,IF(E19&gt;=500,4,IF(E19&gt;=250,3,IF(E19&gt;=100,2,1))))</f>
        <v/>
      </c>
      <c r="T19" s="9">
        <f>IF(F19&gt;=1000,5,IF(F19&gt;=500,4,IF(F19&gt;=250,3,IF(F19&gt;=100,2,1))))</f>
        <v/>
      </c>
      <c r="U19" s="9">
        <f>VLOOKUP(C19,Lookup_Tables!A:B,2,FALSE)</f>
        <v/>
      </c>
      <c r="V19" s="9">
        <f>VLOOKUP(H19,Lookup_Tables!D:E,2,FALSE)</f>
        <v/>
      </c>
      <c r="W19" s="9">
        <f>VLOOKUP(I19,Lookup_Tables!D:E,2,FALSE)</f>
        <v/>
      </c>
      <c r="X19" s="13">
        <f>ROUND((D19*Controls!$B$4)+(G19*Controls!$B$5)+(K19*Controls!$B$6)+(L19*Controls!$B$7)+(M19*Controls!$B$8)+(MAX(N19,O19)*Controls!$B$9),2)</f>
        <v/>
      </c>
      <c r="Y19">
        <f>IF(AND(C19="Bulk",F19&gt;=Controls!$B$12),"A",IF(P19&gt;=Controls!$B$10,"A",IF(P19&gt;=Controls!$B$11,"B","C")))</f>
        <v/>
      </c>
      <c r="Z19" s="9">
        <f>IF(OR(D19&gt;=4,G19&gt;=4),1,IF(P19&gt;=Controls!$B$11,2,3))</f>
        <v/>
      </c>
      <c r="AA19">
        <f>IF(OR(D19&gt;=4,G19&gt;=4),"Front",IF(P19&gt;=Controls!$B$11,"Middle","Back"))</f>
        <v/>
      </c>
      <c r="AB19">
        <f>Q19&amp;R19&amp;"-"&amp;S19</f>
        <v/>
      </c>
      <c r="AC19">
        <f>IF(T19=J19,"Keep current slot","Re-slot for better access / flow")</f>
        <v/>
      </c>
    </row>
    <row r="20">
      <c r="A20" t="inlineStr">
        <is>
          <t>Avg Storage Priority Score</t>
        </is>
      </c>
      <c r="B20" t="n">
        <v>3.68</v>
      </c>
      <c r="D20" s="18" t="n"/>
      <c r="E20" s="18" t="n"/>
      <c r="F20" s="18" t="n"/>
      <c r="G20" s="18" t="n"/>
      <c r="K20">
        <f>Controls!$B$22</f>
        <v/>
      </c>
      <c r="L20">
        <f>Controls!$B$20</f>
        <v/>
      </c>
      <c r="M20">
        <f>Controls!$B$21</f>
        <v/>
      </c>
      <c r="N20">
        <f>ROUND(K20*(L20/12)*(M20/12),2)</f>
        <v/>
      </c>
      <c r="O20">
        <f>VLOOKUP(C20,Lookup_Tables!$G$4:$H$7,2,FALSE)</f>
        <v/>
      </c>
      <c r="P20">
        <f>IF(O20&lt;=N20,"Fits","Review")</f>
        <v/>
      </c>
      <c r="Q20">
        <f>ROUND(O20/N20,3)</f>
        <v/>
      </c>
      <c r="R20">
        <f>V20&amp;W20&amp;"-"&amp;X20</f>
        <v/>
      </c>
      <c r="S20" s="9">
        <f>IF(E20&gt;=1000,5,IF(E20&gt;=500,4,IF(E20&gt;=250,3,IF(E20&gt;=100,2,1))))</f>
        <v/>
      </c>
      <c r="T20" s="9">
        <f>IF(F20&gt;=1000,5,IF(F20&gt;=500,4,IF(F20&gt;=250,3,IF(F20&gt;=100,2,1))))</f>
        <v/>
      </c>
      <c r="U20" s="9">
        <f>VLOOKUP(C20,Lookup_Tables!A:B,2,FALSE)</f>
        <v/>
      </c>
      <c r="V20" s="9">
        <f>VLOOKUP(H20,Lookup_Tables!D:E,2,FALSE)</f>
        <v/>
      </c>
      <c r="W20" s="9">
        <f>VLOOKUP(I20,Lookup_Tables!D:E,2,FALSE)</f>
        <v/>
      </c>
      <c r="X20" s="13">
        <f>ROUND((D20*Controls!$B$4)+(G20*Controls!$B$5)+(K20*Controls!$B$6)+(L20*Controls!$B$7)+(M20*Controls!$B$8)+(MAX(N20,O20)*Controls!$B$9),2)</f>
        <v/>
      </c>
      <c r="Y20">
        <f>IF(AND(C20="Bulk",F20&gt;=Controls!$B$12),"A",IF(P20&gt;=Controls!$B$10,"A",IF(P20&gt;=Controls!$B$11,"B","C")))</f>
        <v/>
      </c>
      <c r="Z20" s="9">
        <f>IF(OR(D20&gt;=4,G20&gt;=4),1,IF(P20&gt;=Controls!$B$11,2,3))</f>
        <v/>
      </c>
      <c r="AA20">
        <f>IF(OR(D20&gt;=4,G20&gt;=4),"Front",IF(P20&gt;=Controls!$B$11,"Middle","Back"))</f>
        <v/>
      </c>
      <c r="AB20">
        <f>Q20&amp;R20&amp;"-"&amp;S20</f>
        <v/>
      </c>
      <c r="AC20">
        <f>IF(T20=J20,"Keep current slot","Re-slot for better access / flow")</f>
        <v/>
      </c>
    </row>
    <row r="21">
      <c r="A21" t="inlineStr">
        <is>
          <t>Re-slot Candidates</t>
        </is>
      </c>
      <c r="B21" t="n">
        <v>14</v>
      </c>
      <c r="D21" s="18" t="n"/>
      <c r="E21" s="18" t="n"/>
      <c r="F21" s="18" t="n"/>
      <c r="G21" s="18" t="n"/>
      <c r="K21">
        <f>Controls!$B$22</f>
        <v/>
      </c>
      <c r="L21">
        <f>Controls!$B$20</f>
        <v/>
      </c>
      <c r="M21">
        <f>Controls!$B$21</f>
        <v/>
      </c>
      <c r="N21">
        <f>ROUND(K21*(L21/12)*(M21/12),2)</f>
        <v/>
      </c>
      <c r="O21">
        <f>VLOOKUP(C21,Lookup_Tables!$G$4:$H$7,2,FALSE)</f>
        <v/>
      </c>
      <c r="P21">
        <f>IF(O21&lt;=N21,"Fits","Review")</f>
        <v/>
      </c>
      <c r="Q21">
        <f>ROUND(O21/N21,3)</f>
        <v/>
      </c>
      <c r="R21">
        <f>V21&amp;W21&amp;"-"&amp;X21</f>
        <v/>
      </c>
      <c r="S21" s="9">
        <f>IF(E21&gt;=1000,5,IF(E21&gt;=500,4,IF(E21&gt;=250,3,IF(E21&gt;=100,2,1))))</f>
        <v/>
      </c>
      <c r="T21" s="9">
        <f>IF(F21&gt;=1000,5,IF(F21&gt;=500,4,IF(F21&gt;=250,3,IF(F21&gt;=100,2,1))))</f>
        <v/>
      </c>
      <c r="U21" s="9">
        <f>VLOOKUP(C21,Lookup_Tables!A:B,2,FALSE)</f>
        <v/>
      </c>
      <c r="V21" s="9">
        <f>VLOOKUP(H21,Lookup_Tables!D:E,2,FALSE)</f>
        <v/>
      </c>
      <c r="W21" s="9">
        <f>VLOOKUP(I21,Lookup_Tables!D:E,2,FALSE)</f>
        <v/>
      </c>
      <c r="X21" s="13">
        <f>ROUND((D21*Controls!$B$4)+(G21*Controls!$B$5)+(K21*Controls!$B$6)+(L21*Controls!$B$7)+(M21*Controls!$B$8)+(MAX(N21,O21)*Controls!$B$9),2)</f>
        <v/>
      </c>
      <c r="Y21">
        <f>IF(AND(C21="Bulk",F21&gt;=Controls!$B$12),"A",IF(P21&gt;=Controls!$B$10,"A",IF(P21&gt;=Controls!$B$11,"B","C")))</f>
        <v/>
      </c>
      <c r="Z21" s="9">
        <f>IF(OR(D21&gt;=4,G21&gt;=4),1,IF(P21&gt;=Controls!$B$11,2,3))</f>
        <v/>
      </c>
      <c r="AA21">
        <f>IF(OR(D21&gt;=4,G21&gt;=4),"Front",IF(P21&gt;=Controls!$B$11,"Middle","Back"))</f>
        <v/>
      </c>
      <c r="AB21">
        <f>Q21&amp;R21&amp;"-"&amp;S21</f>
        <v/>
      </c>
      <c r="AC21">
        <f>IF(T21=J21,"Keep current slot","Re-slot for better access / flow")</f>
        <v/>
      </c>
    </row>
    <row r="22">
      <c r="A22" t="inlineStr">
        <is>
          <t>Premium A-Level Recommendations</t>
        </is>
      </c>
      <c r="B22" t="n">
        <v>4</v>
      </c>
      <c r="D22" s="18" t="n"/>
      <c r="E22" s="18" t="n"/>
      <c r="F22" s="18" t="n"/>
      <c r="G22" s="18" t="n"/>
      <c r="K22">
        <f>Controls!$B$22</f>
        <v/>
      </c>
      <c r="L22">
        <f>Controls!$B$20</f>
        <v/>
      </c>
      <c r="M22">
        <f>Controls!$B$21</f>
        <v/>
      </c>
      <c r="N22">
        <f>ROUND(K22*(L22/12)*(M22/12),2)</f>
        <v/>
      </c>
      <c r="O22">
        <f>VLOOKUP(C22,Lookup_Tables!$G$4:$H$7,2,FALSE)</f>
        <v/>
      </c>
      <c r="P22">
        <f>IF(O22&lt;=N22,"Fits","Review")</f>
        <v/>
      </c>
      <c r="Q22">
        <f>ROUND(O22/N22,3)</f>
        <v/>
      </c>
      <c r="R22">
        <f>V22&amp;W22&amp;"-"&amp;X22</f>
        <v/>
      </c>
      <c r="S22" s="9">
        <f>IF(E22&gt;=1000,5,IF(E22&gt;=500,4,IF(E22&gt;=250,3,IF(E22&gt;=100,2,1))))</f>
        <v/>
      </c>
      <c r="T22" s="9">
        <f>IF(F22&gt;=1000,5,IF(F22&gt;=500,4,IF(F22&gt;=250,3,IF(F22&gt;=100,2,1))))</f>
        <v/>
      </c>
      <c r="U22" s="9">
        <f>VLOOKUP(C22,Lookup_Tables!A:B,2,FALSE)</f>
        <v/>
      </c>
      <c r="V22" s="9">
        <f>VLOOKUP(H22,Lookup_Tables!D:E,2,FALSE)</f>
        <v/>
      </c>
      <c r="W22" s="9">
        <f>VLOOKUP(I22,Lookup_Tables!D:E,2,FALSE)</f>
        <v/>
      </c>
      <c r="X22" s="13">
        <f>ROUND((D22*Controls!$B$4)+(G22*Controls!$B$5)+(K22*Controls!$B$6)+(L22*Controls!$B$7)+(M22*Controls!$B$8)+(MAX(N22,O22)*Controls!$B$9),2)</f>
        <v/>
      </c>
      <c r="Y22">
        <f>IF(AND(C22="Bulk",F22&gt;=Controls!$B$12),"A",IF(P22&gt;=Controls!$B$10,"A",IF(P22&gt;=Controls!$B$11,"B","C")))</f>
        <v/>
      </c>
      <c r="Z22" s="9">
        <f>IF(OR(D22&gt;=4,G22&gt;=4),1,IF(P22&gt;=Controls!$B$11,2,3))</f>
        <v/>
      </c>
      <c r="AA22">
        <f>IF(OR(D22&gt;=4,G22&gt;=4),"Front",IF(P22&gt;=Controls!$B$11,"Middle","Back"))</f>
        <v/>
      </c>
      <c r="AB22">
        <f>Q22&amp;R22&amp;"-"&amp;S22</f>
        <v/>
      </c>
      <c r="AC22">
        <f>IF(T22=J22,"Keep current slot","Re-slot for better access / flow")</f>
        <v/>
      </c>
    </row>
  </sheetData>
  <mergeCells count="2">
    <mergeCell ref="A1:U1"/>
    <mergeCell ref="A2:H2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:D1"/>
    </sheetView>
  </sheetViews>
  <sheetFormatPr baseColWidth="8" defaultRowHeight="14.5"/>
  <cols>
    <col width="12" customWidth="1" style="38" min="1" max="1"/>
    <col width="42" customWidth="1" style="38" min="2" max="2"/>
    <col width="52" customWidth="1" style="38" min="3" max="3"/>
    <col width="36" customWidth="1" style="38" min="4" max="4"/>
  </cols>
  <sheetData>
    <row r="1" ht="18.5" customHeight="1" s="38">
      <c r="A1" s="41" t="inlineStr">
        <is>
          <t>Recommendations (Updated with Cube Measurements)</t>
        </is>
      </c>
    </row>
    <row r="3">
      <c r="A3" s="8" t="inlineStr">
        <is>
          <t>Priority</t>
        </is>
      </c>
      <c r="B3" s="8" t="inlineStr">
        <is>
          <t>Recommendation</t>
        </is>
      </c>
      <c r="C3" s="8" t="inlineStr">
        <is>
          <t>Rationale</t>
        </is>
      </c>
      <c r="D3" s="8" t="inlineStr">
        <is>
          <t>Expected Benefit</t>
        </is>
      </c>
    </row>
    <row r="4" ht="29" customHeight="1" s="38">
      <c r="A4" s="19" t="inlineStr">
        <is>
          <t>High</t>
        </is>
      </c>
      <c r="B4" s="42" t="inlineStr">
        <is>
          <t>Convert repetitive Niagara water purchases to a contract-based cadence</t>
        </is>
      </c>
      <c r="C4" s="42" t="inlineStr">
        <is>
          <t>Validated water invoices show fixed quantity, price, and amount patterns across the period</t>
        </is>
      </c>
      <c r="D4" s="42" t="inlineStr">
        <is>
          <t>Reduce procurement effort and pursue 5%–12% savings</t>
        </is>
      </c>
    </row>
    <row r="5" ht="29" customHeight="1" s="38">
      <c r="A5" s="19" t="inlineStr">
        <is>
          <t>High</t>
        </is>
      </c>
      <c r="B5" s="42" t="inlineStr">
        <is>
          <t>Reserve A-level front-access slots for high-usage and high-flow items</t>
        </is>
      </c>
      <c r="C5" s="42" t="inlineStr">
        <is>
          <t>Fast-moving staples and water should minimize handling and travel distance</t>
        </is>
      </c>
      <c r="D5" s="42" t="inlineStr">
        <is>
          <t>Improve picking speed and reduce congestion</t>
        </is>
      </c>
    </row>
    <row r="6" ht="29" customHeight="1" s="38">
      <c r="A6" s="19" t="inlineStr">
        <is>
          <t>High</t>
        </is>
      </c>
      <c r="B6" s="42" t="inlineStr">
        <is>
          <t>Use GIK capacity increase for high-volume / high-velocity items</t>
        </is>
      </c>
      <c r="C6" s="42" t="inlineStr">
        <is>
          <t>GIK delivers the largest pallet-position gain after redesign</t>
        </is>
      </c>
      <c r="D6" s="42" t="inlineStr">
        <is>
          <t>Better cube utilization and simpler replenishment</t>
        </is>
      </c>
    </row>
    <row r="7" ht="29" customHeight="1" s="38">
      <c r="A7" s="20" t="inlineStr">
        <is>
          <t>Medium</t>
        </is>
      </c>
      <c r="B7" s="42" t="inlineStr">
        <is>
          <t>Move slow-moving goods to C-level and back-depth slots</t>
        </is>
      </c>
      <c r="C7" s="42" t="inlineStr">
        <is>
          <t>Prime locations should not be consumed by low-flow items</t>
        </is>
      </c>
      <c r="D7" s="42" t="inlineStr">
        <is>
          <t>Free premium space for fast movers</t>
        </is>
      </c>
    </row>
    <row r="8" ht="29" customHeight="1" s="38">
      <c r="A8" s="20" t="inlineStr">
        <is>
          <t>Medium</t>
        </is>
      </c>
      <c r="B8" s="42" t="inlineStr">
        <is>
          <t>Treat Kitchen separately because redesign improves security but reduces pallet positions</t>
        </is>
      </c>
      <c r="C8" s="42" t="inlineStr">
        <is>
          <t>Kitchen is a trade-off area, not a pure-capacity gain</t>
        </is>
      </c>
      <c r="D8" s="42" t="inlineStr">
        <is>
          <t>Protect operations while avoiding overloading this area</t>
        </is>
      </c>
    </row>
    <row r="12">
      <c r="A12" t="inlineStr">
        <is>
          <t>• Cube-space dimensions were added to validate whether recommended locations are physically feasible.</t>
        </is>
      </c>
    </row>
    <row r="13">
      <c r="A13" t="inlineStr">
        <is>
          <t>• High-priority items should not only be near flow paths, but must also fit the available cube volume.</t>
        </is>
      </c>
    </row>
    <row r="14">
      <c r="A14" t="inlineStr">
        <is>
          <t>• Bulk/heavy items should remain on lower levels when quantity held is high, even if space is available elsewhere.</t>
        </is>
      </c>
    </row>
    <row r="16">
      <c r="A16" t="inlineStr">
        <is>
          <t>• Peanut Butter was reclassified as a bulk, high-frequency item based on field notes and should be prioritized for lower/front storage.</t>
        </is>
      </c>
    </row>
    <row r="17">
      <c r="A17" t="inlineStr">
        <is>
          <t>• Fresh / time-sensitive items should move quickly and should remain in fast-access locations to support the 3-day stay assumption.</t>
        </is>
      </c>
    </row>
    <row r="18">
      <c r="A18" t="inlineStr">
        <is>
          <t>• Any item flagged as Manual Review in the final model should be checked against actual dimensions before final placement.</t>
        </is>
      </c>
    </row>
    <row r="20">
      <c r="A20" t="inlineStr">
        <is>
          <t>• Final storage assignments now apply a capacity constraint so premium A-level/front space is reserved only for the highest-priority items.</t>
        </is>
      </c>
    </row>
    <row r="21">
      <c r="A21" t="inlineStr">
        <is>
          <t>• GIK is prioritized for bulk and high-flow items, FOOD for staple food items, GARAGE/KITCHEN for reserve/support storage, and ADDITIONS for overflow bulk support.</t>
        </is>
      </c>
    </row>
    <row r="22">
      <c r="A22" t="inlineStr">
        <is>
          <t>• The practical plan is intended to help SVDP re-slot materials in a phased and implementable way, not place every high-score item in the same premium zone.</t>
        </is>
      </c>
    </row>
    <row r="23">
      <c r="A23" t="inlineStr">
        <is>
          <t>• Depth optimization is now applied so premium items are spread across A1, A2, and A3 instead of being concentrated in a single front-most slot.</t>
        </is>
      </c>
    </row>
    <row r="24">
      <c r="A24" t="inlineStr">
        <is>
          <t>• Standard items are spread across B1, B2, and B3, while reserve items are spread across C1, C2, and C3.</t>
        </is>
      </c>
    </row>
    <row r="25">
      <c r="A25" t="inlineStr">
        <is>
          <t>• This makes the storage plan more realistic, practical, and easier for the organization to implement.</t>
        </is>
      </c>
    </row>
    <row r="29">
      <c r="A29" t="inlineStr">
        <is>
          <t>• Hybrid logic is now applied consistently across the workbook.</t>
        </is>
      </c>
    </row>
    <row r="30">
      <c r="A30" t="inlineStr">
        <is>
          <t>• Final sequence used for practical allocation: A1, B1, C1, A2, B2, A3, B3, C2, C3.</t>
        </is>
      </c>
    </row>
    <row r="31">
      <c r="A31" t="inlineStr">
        <is>
          <t>• Storage_Reallocation_Plan and Slotting_Dashboard now both read directly from Hybrid_Location.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8" defaultRowHeight="14.5"/>
  <cols>
    <col width="12" customWidth="1" style="38" min="1" max="1"/>
    <col width="16" customWidth="1" style="38" min="2" max="2"/>
    <col width="28" customWidth="1" style="38" min="3" max="3"/>
    <col width="14" customWidth="1" style="38" min="4" max="4"/>
    <col width="60" customWidth="1" style="38" min="5" max="5"/>
    <col width="14" customWidth="1" style="38" min="6" max="8"/>
  </cols>
  <sheetData>
    <row r="1" ht="18.5" customHeight="1" s="38">
      <c r="A1" s="37" t="inlineStr">
        <is>
          <t>Clean Transactions</t>
        </is>
      </c>
    </row>
    <row r="3">
      <c r="A3" s="8" t="inlineStr">
        <is>
          <t>Date</t>
        </is>
      </c>
      <c r="B3" s="8" t="inlineStr">
        <is>
          <t>Invoice/Doc</t>
        </is>
      </c>
      <c r="C3" s="8" t="inlineStr">
        <is>
          <t>Supplier</t>
        </is>
      </c>
      <c r="D3" s="8" t="inlineStr">
        <is>
          <t>Category</t>
        </is>
      </c>
      <c r="E3" s="8" t="inlineStr">
        <is>
          <t>Description</t>
        </is>
      </c>
      <c r="F3" s="8" t="inlineStr">
        <is>
          <t>Debit ($)</t>
        </is>
      </c>
      <c r="G3" s="8" t="inlineStr">
        <is>
          <t>Credit ($)</t>
        </is>
      </c>
      <c r="H3" s="8" t="inlineStr">
        <is>
          <t>Net ($)</t>
        </is>
      </c>
    </row>
    <row r="4">
      <c r="A4" s="21" t="n">
        <v>45566</v>
      </c>
      <c r="B4" t="inlineStr">
        <is>
          <t>218777</t>
        </is>
      </c>
      <c r="C4" t="inlineStr">
        <is>
          <t>STAR FOODS INC.</t>
        </is>
      </c>
      <c r="D4" t="inlineStr">
        <is>
          <t>Food</t>
        </is>
      </c>
      <c r="E4" t="inlineStr">
        <is>
          <t>Bill - STAR FOODS INC.: Whole Kernal Corn NSA 24/15 oz.</t>
        </is>
      </c>
      <c r="F4" s="11" t="n">
        <v>28370.88</v>
      </c>
      <c r="G4" s="11" t="n"/>
      <c r="H4" s="11" t="n">
        <v>28370.88</v>
      </c>
    </row>
    <row r="5">
      <c r="A5" s="21" t="n">
        <v>45570</v>
      </c>
      <c r="B5" t="inlineStr">
        <is>
          <t>30658668</t>
        </is>
      </c>
      <c r="C5" t="inlineStr">
        <is>
          <t>NIAGARA BOTTLING, LLC</t>
        </is>
      </c>
      <c r="D5" t="inlineStr">
        <is>
          <t>Water</t>
        </is>
      </c>
      <c r="E5" t="inlineStr">
        <is>
          <t>Bill - NIAGARA BOTTLING, LLC: Water</t>
        </is>
      </c>
      <c r="F5" s="11" t="n">
        <v>3561.6</v>
      </c>
      <c r="G5" s="11" t="n"/>
      <c r="H5" s="11" t="n">
        <v>3561.6</v>
      </c>
    </row>
    <row r="6">
      <c r="A6" s="21" t="n">
        <v>45576</v>
      </c>
      <c r="B6" t="inlineStr">
        <is>
          <t>3057986-IN</t>
        </is>
      </c>
      <c r="C6" t="inlineStr">
        <is>
          <t>GLOBAL FOODS INC.</t>
        </is>
      </c>
      <c r="D6" t="inlineStr">
        <is>
          <t>Food</t>
        </is>
      </c>
      <c r="E6" t="inlineStr">
        <is>
          <t>Bill - GLOBAL FOODS INC.: Creamy Peanut Butter</t>
        </is>
      </c>
      <c r="F6" s="11" t="n">
        <v>11777.6</v>
      </c>
      <c r="G6" s="11" t="n"/>
      <c r="H6" s="11" t="n">
        <v>11777.6</v>
      </c>
    </row>
    <row r="7">
      <c r="A7" s="21" t="n">
        <v>45577</v>
      </c>
      <c r="B7" t="inlineStr">
        <is>
          <t>30698733</t>
        </is>
      </c>
      <c r="C7" t="inlineStr">
        <is>
          <t>NIAGARA BOTTLING, LLC</t>
        </is>
      </c>
      <c r="D7" t="inlineStr">
        <is>
          <t>Water</t>
        </is>
      </c>
      <c r="E7" t="inlineStr">
        <is>
          <t>Bill - NIAGARA BOTTLING, LLC: Water</t>
        </is>
      </c>
      <c r="F7" s="11" t="n">
        <v>3561.6</v>
      </c>
      <c r="G7" s="11" t="n"/>
      <c r="H7" s="11" t="n">
        <v>3561.6</v>
      </c>
    </row>
    <row r="8">
      <c r="A8" s="21" t="n">
        <v>45583</v>
      </c>
      <c r="B8" t="inlineStr">
        <is>
          <t>021000022924330</t>
        </is>
      </c>
      <c r="C8" t="inlineStr">
        <is>
          <t>NIAGARA BOTTLING, LLC</t>
        </is>
      </c>
      <c r="D8" t="inlineStr">
        <is>
          <t>Exclude</t>
        </is>
      </c>
      <c r="E8" t="inlineStr">
        <is>
          <t>Excluded parser artifact – not a valid full Niagara invoice</t>
        </is>
      </c>
      <c r="F8" s="11" t="n">
        <v>0</v>
      </c>
      <c r="G8" s="11" t="n"/>
      <c r="H8" s="11" t="n">
        <v>0</v>
      </c>
    </row>
    <row r="9">
      <c r="A9" s="21" t="n">
        <v>45584</v>
      </c>
      <c r="B9" t="inlineStr">
        <is>
          <t>30733894</t>
        </is>
      </c>
      <c r="C9" t="inlineStr">
        <is>
          <t>NIAGARA BOTTLING, LLC</t>
        </is>
      </c>
      <c r="D9" t="inlineStr">
        <is>
          <t>Water</t>
        </is>
      </c>
      <c r="E9" t="inlineStr">
        <is>
          <t>Bill - NIAGARA BOTTLING, LLC: Water</t>
        </is>
      </c>
      <c r="F9" s="11" t="n">
        <v>3561.6</v>
      </c>
      <c r="G9" s="11" t="n"/>
      <c r="H9" s="11" t="n">
        <v>3561.6</v>
      </c>
    </row>
    <row r="10">
      <c r="A10" s="21" t="n">
        <v>45595</v>
      </c>
      <c r="B10" t="inlineStr">
        <is>
          <t>nan</t>
        </is>
      </c>
      <c r="C10" t="inlineStr">
        <is>
          <t>Unknown</t>
        </is>
      </c>
      <c r="D10" t="inlineStr">
        <is>
          <t>Food</t>
        </is>
      </c>
      <c r="E10" t="inlineStr">
        <is>
          <t>Reclass CIS Invoice 36978</t>
        </is>
      </c>
      <c r="F10" s="11" t="n">
        <v>12543.6</v>
      </c>
      <c r="G10" s="11" t="n"/>
      <c r="H10" s="11" t="n">
        <v>12543.6</v>
      </c>
    </row>
    <row r="11">
      <c r="A11" s="21" t="n">
        <v>45598</v>
      </c>
      <c r="B11" t="inlineStr">
        <is>
          <t>30794368</t>
        </is>
      </c>
      <c r="C11" t="inlineStr">
        <is>
          <t>NIAGARA BOTTLING, LLC</t>
        </is>
      </c>
      <c r="D11" t="inlineStr">
        <is>
          <t>Water</t>
        </is>
      </c>
      <c r="E11" t="inlineStr">
        <is>
          <t>Bill - NIAGARA BOTTLING, LLC: Water</t>
        </is>
      </c>
      <c r="F11" s="11" t="n">
        <v>3561.6</v>
      </c>
      <c r="G11" s="11" t="n"/>
      <c r="H11" s="11" t="n">
        <v>3561.6</v>
      </c>
    </row>
    <row r="12">
      <c r="A12" s="21" t="n">
        <v>45600</v>
      </c>
      <c r="B12" t="inlineStr">
        <is>
          <t>218822</t>
        </is>
      </c>
      <c r="C12" t="inlineStr">
        <is>
          <t>STAR FOODS INC.</t>
        </is>
      </c>
      <c r="D12" t="inlineStr">
        <is>
          <t>Food</t>
        </is>
      </c>
      <c r="E12" t="inlineStr">
        <is>
          <t>Bill - STAR FOODS INC.: Dry Grocery Order</t>
        </is>
      </c>
      <c r="F12" s="11" t="n">
        <v>29590.28</v>
      </c>
      <c r="G12" s="11" t="n"/>
      <c r="H12" s="11" t="n">
        <v>29590.28</v>
      </c>
    </row>
    <row r="13">
      <c r="A13" s="21" t="n">
        <v>45600</v>
      </c>
      <c r="B13" t="inlineStr">
        <is>
          <t>218822</t>
        </is>
      </c>
      <c r="C13" t="inlineStr">
        <is>
          <t>STAR FOODS INC.</t>
        </is>
      </c>
      <c r="D13" t="inlineStr">
        <is>
          <t>Food</t>
        </is>
      </c>
      <c r="E13" t="inlineStr">
        <is>
          <t>Bill - STAR FOODS INC.: Whole Kernal Corn NSA 24/15 oz.</t>
        </is>
      </c>
      <c r="F13" s="11" t="n">
        <v>1446.76</v>
      </c>
      <c r="G13" s="11" t="n"/>
      <c r="H13" s="11" t="n">
        <v>1446.76</v>
      </c>
    </row>
    <row r="14">
      <c r="A14" s="21" t="n">
        <v>45612</v>
      </c>
      <c r="B14" t="inlineStr">
        <is>
          <t>30852066</t>
        </is>
      </c>
      <c r="C14" t="inlineStr">
        <is>
          <t>NIAGARA BOTTLING, LLC</t>
        </is>
      </c>
      <c r="D14" t="inlineStr">
        <is>
          <t>Water</t>
        </is>
      </c>
      <c r="E14" t="inlineStr">
        <is>
          <t>Bill - NIAGARA BOTTLING, LLC: 960 Cases @$3.71</t>
        </is>
      </c>
      <c r="F14" s="11" t="n">
        <v>3561.6</v>
      </c>
      <c r="G14" s="11" t="n"/>
      <c r="H14" s="11" t="n">
        <v>3561.6</v>
      </c>
    </row>
    <row r="15">
      <c r="A15" s="21" t="n">
        <v>45621</v>
      </c>
      <c r="B15" t="inlineStr">
        <is>
          <t>218855</t>
        </is>
      </c>
      <c r="C15" t="inlineStr">
        <is>
          <t>STAR FOODS INC.</t>
        </is>
      </c>
      <c r="D15" t="inlineStr">
        <is>
          <t>Food</t>
        </is>
      </c>
      <c r="E15" t="inlineStr">
        <is>
          <t>Bill - STAR FOODS INC.: Dry Grocery Order</t>
        </is>
      </c>
      <c r="F15" s="11" t="n">
        <v>35792.03</v>
      </c>
      <c r="G15" s="11" t="n"/>
      <c r="H15" s="11" t="n">
        <v>35792.03</v>
      </c>
    </row>
    <row r="16">
      <c r="A16" s="21" t="n">
        <v>45621</v>
      </c>
      <c r="B16" t="inlineStr">
        <is>
          <t>3058500-IN</t>
        </is>
      </c>
      <c r="C16" t="inlineStr">
        <is>
          <t>GLOBAL FOODS INC.</t>
        </is>
      </c>
      <c r="D16" t="inlineStr">
        <is>
          <t>Meat</t>
        </is>
      </c>
      <c r="E16" t="inlineStr">
        <is>
          <t>Bill - GLOBAL FOODS INC.: Kroger -Ground Beef 12/48</t>
        </is>
      </c>
      <c r="F16" s="11" t="n">
        <v>9702</v>
      </c>
      <c r="G16" s="11" t="n"/>
      <c r="H16" s="11" t="n">
        <v>9702</v>
      </c>
    </row>
    <row r="17">
      <c r="A17" s="21" t="n">
        <v>45626</v>
      </c>
      <c r="B17" t="inlineStr">
        <is>
          <t>30903981</t>
        </is>
      </c>
      <c r="C17" t="inlineStr">
        <is>
          <t>NIAGARA BOTTLING, LLC</t>
        </is>
      </c>
      <c r="D17" t="inlineStr">
        <is>
          <t>Water</t>
        </is>
      </c>
      <c r="E17" t="inlineStr">
        <is>
          <t>Bill - NIAGARA BOTTLING, LLC: 960 Cases @ $3.71</t>
        </is>
      </c>
      <c r="F17" s="11" t="n">
        <v>3561.6</v>
      </c>
      <c r="G17" s="11" t="n"/>
      <c r="H17" s="11" t="n">
        <v>3561.6</v>
      </c>
    </row>
    <row r="18">
      <c r="A18" s="21" t="n">
        <v>45635</v>
      </c>
      <c r="B18" t="inlineStr">
        <is>
          <t>3058597-IN</t>
        </is>
      </c>
      <c r="C18" t="inlineStr">
        <is>
          <t>GLOBAL FOODS INC.</t>
        </is>
      </c>
      <c r="D18" t="inlineStr">
        <is>
          <t>Meat</t>
        </is>
      </c>
      <c r="E18" t="inlineStr">
        <is>
          <t>Bill - GLOBAL FOODS INC.: Kroger -Ground Beef 80/20 &amp; kroge</t>
        </is>
      </c>
      <c r="F18" s="11" t="n">
        <v>17404.8</v>
      </c>
      <c r="G18" s="11" t="n"/>
      <c r="H18" s="11" t="n">
        <v>17404.8</v>
      </c>
    </row>
    <row r="19">
      <c r="A19" s="21" t="n">
        <v>45637</v>
      </c>
      <c r="B19" t="inlineStr">
        <is>
          <t>3058631-IN</t>
        </is>
      </c>
      <c r="C19" t="inlineStr">
        <is>
          <t>GLOBAL FOODS INC.</t>
        </is>
      </c>
      <c r="D19" t="inlineStr">
        <is>
          <t>Food</t>
        </is>
      </c>
      <c r="E19" t="inlineStr">
        <is>
          <t>Bill - GLOBAL FOODS INC.: Creamy Peanut Butter 12/18 oz</t>
        </is>
      </c>
      <c r="F19" s="11" t="n">
        <v>11777.6</v>
      </c>
      <c r="G19" s="11" t="n"/>
      <c r="H19" s="11" t="n">
        <v>11777.6</v>
      </c>
    </row>
    <row r="20">
      <c r="A20" s="21" t="n">
        <v>45640</v>
      </c>
      <c r="B20" t="inlineStr">
        <is>
          <t>30960939</t>
        </is>
      </c>
      <c r="C20" t="inlineStr">
        <is>
          <t>NIAGARA BOTTLING, LLC</t>
        </is>
      </c>
      <c r="D20" t="inlineStr">
        <is>
          <t>Water</t>
        </is>
      </c>
      <c r="E20" t="inlineStr">
        <is>
          <t>Bill - NIAGARA BOTTLING, LLC: 960 Cases @ $3.71</t>
        </is>
      </c>
      <c r="F20" s="11" t="n">
        <v>3561.6</v>
      </c>
      <c r="G20" s="11" t="n"/>
      <c r="H20" s="11" t="n">
        <v>3561.6</v>
      </c>
    </row>
    <row r="21">
      <c r="A21" s="21" t="n">
        <v>45646</v>
      </c>
      <c r="B21" t="inlineStr">
        <is>
          <t>218867</t>
        </is>
      </c>
      <c r="C21" t="inlineStr">
        <is>
          <t>STAR FOODS INC.</t>
        </is>
      </c>
      <c r="D21" t="inlineStr">
        <is>
          <t>Food</t>
        </is>
      </c>
      <c r="E21" t="inlineStr">
        <is>
          <t>Bill - STAR FOODS INC.: Food items/Groceries</t>
        </is>
      </c>
      <c r="F21" s="11" t="n">
        <v>26168.52</v>
      </c>
      <c r="G21" s="11" t="n"/>
      <c r="H21" s="11" t="n">
        <v>26168.52</v>
      </c>
    </row>
    <row r="22">
      <c r="A22" s="21" t="n">
        <v>45647</v>
      </c>
      <c r="B22" t="inlineStr">
        <is>
          <t>30990822</t>
        </is>
      </c>
      <c r="C22" t="inlineStr">
        <is>
          <t>NIAGARA BOTTLING, LLC</t>
        </is>
      </c>
      <c r="D22" t="inlineStr">
        <is>
          <t>Water</t>
        </is>
      </c>
      <c r="E22" t="inlineStr">
        <is>
          <t>Bill - NIAGARA BOTTLING, LLC</t>
        </is>
      </c>
      <c r="F22" s="11" t="n">
        <v>3561.6</v>
      </c>
      <c r="G22" s="11" t="n"/>
      <c r="H22" s="11" t="n">
        <v>3561.6</v>
      </c>
    </row>
    <row r="23">
      <c r="A23" s="21" t="n">
        <v>45668</v>
      </c>
      <c r="B23" t="inlineStr">
        <is>
          <t>31142515</t>
        </is>
      </c>
      <c r="C23" t="inlineStr">
        <is>
          <t>NIAGARA BOTTLING, LLC</t>
        </is>
      </c>
      <c r="D23" t="inlineStr">
        <is>
          <t>Water</t>
        </is>
      </c>
      <c r="E23" t="inlineStr">
        <is>
          <t>Bill - NIAGARA BOTTLING, LLC: Cases of Water</t>
        </is>
      </c>
      <c r="F23" s="11" t="n">
        <v>3561.6</v>
      </c>
      <c r="G23" s="11" t="n"/>
      <c r="H23" s="11" t="n">
        <v>3561.6</v>
      </c>
    </row>
    <row r="24">
      <c r="A24" s="21" t="n">
        <v>45710</v>
      </c>
      <c r="B24" t="inlineStr">
        <is>
          <t>31361281</t>
        </is>
      </c>
      <c r="C24" t="inlineStr">
        <is>
          <t>NIAGARA BOTTLING, LLC</t>
        </is>
      </c>
      <c r="D24" t="inlineStr">
        <is>
          <t>Water</t>
        </is>
      </c>
      <c r="E24" t="inlineStr">
        <is>
          <t>Bill - NIAGARA BOTTLING, LLC: NDW05L40PDRPBN 05L.DR.NIAGARA.40P.N.48.PB</t>
        </is>
      </c>
      <c r="F24" s="11" t="n">
        <v>3561.6</v>
      </c>
      <c r="G24" s="11" t="n"/>
      <c r="H24" s="11" t="n">
        <v>3561.6</v>
      </c>
    </row>
    <row r="25">
      <c r="A25" s="21" t="n">
        <v>45717</v>
      </c>
      <c r="B25" t="inlineStr">
        <is>
          <t>31212067</t>
        </is>
      </c>
      <c r="C25" t="inlineStr">
        <is>
          <t>NIAGARA BOTTLING, LLC</t>
        </is>
      </c>
      <c r="D25" t="inlineStr">
        <is>
          <t>Water</t>
        </is>
      </c>
      <c r="E25" t="inlineStr">
        <is>
          <t>Bill - NIAGARA BOTTLING, LLC: Cases of water 960 Cases @ $3.71</t>
        </is>
      </c>
      <c r="F25" s="11" t="n">
        <v>3561.6</v>
      </c>
      <c r="G25" s="11" t="n"/>
      <c r="H25" s="11" t="n">
        <v>3561.6</v>
      </c>
    </row>
    <row r="26">
      <c r="A26" s="21" t="n">
        <v>45717</v>
      </c>
      <c r="B26" t="inlineStr">
        <is>
          <t>31298681</t>
        </is>
      </c>
      <c r="C26" t="inlineStr">
        <is>
          <t>NIAGARA BOTTLING, LLC</t>
        </is>
      </c>
      <c r="D26" t="inlineStr">
        <is>
          <t>Water</t>
        </is>
      </c>
      <c r="E26" t="inlineStr">
        <is>
          <t>Bill - NIAGARA BOTTLING, LLC: Cases of water 960 Cases @ $3.71</t>
        </is>
      </c>
      <c r="F26" s="11" t="n">
        <v>3561.6</v>
      </c>
      <c r="G26" s="11" t="n"/>
      <c r="H26" s="11" t="n">
        <v>3561.6</v>
      </c>
    </row>
    <row r="27">
      <c r="A27" s="21" t="n">
        <v>45719</v>
      </c>
      <c r="B27" t="inlineStr">
        <is>
          <t>03032025</t>
        </is>
      </c>
      <c r="C27" t="inlineStr">
        <is>
          <t>Utah Beef Producers LLC</t>
        </is>
      </c>
      <c r="D27" t="inlineStr">
        <is>
          <t>Meat</t>
        </is>
      </c>
      <c r="E27" t="inlineStr">
        <is>
          <t>Bill - Utah Beef Producers LLC: Fee for service ground Beef</t>
        </is>
      </c>
      <c r="F27" s="11" t="n">
        <v>13454</v>
      </c>
      <c r="G27" s="11" t="n"/>
      <c r="H27" s="11" t="n">
        <v>13454</v>
      </c>
    </row>
    <row r="28">
      <c r="A28" s="21" t="n">
        <v>45723</v>
      </c>
      <c r="B28" t="inlineStr">
        <is>
          <t>219004</t>
        </is>
      </c>
      <c r="C28" t="inlineStr">
        <is>
          <t>STAR FOODS INC.</t>
        </is>
      </c>
      <c r="D28" t="inlineStr">
        <is>
          <t>Food</t>
        </is>
      </c>
      <c r="E28" t="inlineStr">
        <is>
          <t>Bill - STAR FOODS INC.: Food items/Groceries</t>
        </is>
      </c>
      <c r="F28" s="11" t="n">
        <v>33371.16</v>
      </c>
      <c r="G28" s="11" t="n"/>
      <c r="H28" s="11" t="n">
        <v>33371.16</v>
      </c>
    </row>
    <row r="29">
      <c r="A29" s="21" t="n">
        <v>45730</v>
      </c>
      <c r="B29" t="inlineStr">
        <is>
          <t>219005</t>
        </is>
      </c>
      <c r="C29" t="inlineStr">
        <is>
          <t>STAR FOODS INC.</t>
        </is>
      </c>
      <c r="D29" t="inlineStr">
        <is>
          <t>Food</t>
        </is>
      </c>
      <c r="E29" t="inlineStr">
        <is>
          <t>Bill - STAR FOODS INC.: Food items/Groceries</t>
        </is>
      </c>
      <c r="F29" s="11" t="n">
        <v>33258.36</v>
      </c>
      <c r="G29" s="11" t="n"/>
      <c r="H29" s="11" t="n">
        <v>33258.36</v>
      </c>
    </row>
    <row r="30">
      <c r="A30" s="21" t="n">
        <v>45736</v>
      </c>
      <c r="B30" t="inlineStr">
        <is>
          <t>nan</t>
        </is>
      </c>
      <c r="C30" t="inlineStr">
        <is>
          <t>Unknown</t>
        </is>
      </c>
      <c r="D30" t="inlineStr">
        <is>
          <t>Food</t>
        </is>
      </c>
      <c r="E30" t="inlineStr">
        <is>
          <t>Reclass CIS Invoice 51613</t>
        </is>
      </c>
      <c r="F30" s="11" t="n">
        <v>7456.44</v>
      </c>
      <c r="G30" s="11" t="n"/>
      <c r="H30" s="11" t="n">
        <v>7456.44</v>
      </c>
    </row>
    <row r="31">
      <c r="A31" s="21" t="n">
        <v>45736</v>
      </c>
      <c r="B31" t="inlineStr">
        <is>
          <t>nan</t>
        </is>
      </c>
      <c r="C31" t="inlineStr">
        <is>
          <t>Unknown</t>
        </is>
      </c>
      <c r="D31" t="inlineStr">
        <is>
          <t>Food</t>
        </is>
      </c>
      <c r="E31" t="inlineStr">
        <is>
          <t>Reclass CIS Invoice 51613</t>
        </is>
      </c>
      <c r="F31" s="11" t="n">
        <v>23234.9</v>
      </c>
      <c r="G31" s="11" t="n"/>
      <c r="H31" s="11" t="n">
        <v>23234.9</v>
      </c>
    </row>
    <row r="32">
      <c r="A32" s="21" t="n">
        <v>45738</v>
      </c>
      <c r="B32" t="inlineStr">
        <is>
          <t>31631379</t>
        </is>
      </c>
      <c r="C32" t="inlineStr">
        <is>
          <t>NIAGARA BOTTLING, LLC</t>
        </is>
      </c>
      <c r="D32" t="inlineStr">
        <is>
          <t>Water</t>
        </is>
      </c>
      <c r="E32" t="inlineStr">
        <is>
          <t>Bill - NIAGARA BOTTLING, LLC: NDW05L40PDRPBN 05L.DR.NIAGARA.40P.N.48.PB</t>
        </is>
      </c>
      <c r="F32" s="11" t="n">
        <v>3561.6</v>
      </c>
      <c r="G32" s="11" t="n"/>
      <c r="H32" s="11" t="n">
        <v>3561.6</v>
      </c>
    </row>
    <row r="33">
      <c r="A33" s="21" t="n">
        <v>45745</v>
      </c>
      <c r="B33" t="inlineStr">
        <is>
          <t>31695234</t>
        </is>
      </c>
      <c r="C33" t="inlineStr">
        <is>
          <t>NIAGARA BOTTLING, LLC</t>
        </is>
      </c>
      <c r="D33" t="inlineStr">
        <is>
          <t>Water</t>
        </is>
      </c>
      <c r="E33" t="inlineStr">
        <is>
          <t>Bill - NIAGARA BOTTLING, LLC: NDW05L40PDRPBN 05L.DR.NIAGARA.40P.N.48.PB</t>
        </is>
      </c>
      <c r="F33" s="11" t="n">
        <v>3561.6</v>
      </c>
      <c r="G33" s="11" t="n"/>
      <c r="H33" s="11" t="n">
        <v>3561.6</v>
      </c>
    </row>
    <row r="34">
      <c r="A34" s="21" t="n">
        <v>45748</v>
      </c>
      <c r="B34" t="inlineStr">
        <is>
          <t>31492471</t>
        </is>
      </c>
      <c r="C34" t="inlineStr">
        <is>
          <t>NIAGARA BOTTLING, LLC</t>
        </is>
      </c>
      <c r="D34" t="inlineStr">
        <is>
          <t>Water</t>
        </is>
      </c>
      <c r="E34" t="inlineStr">
        <is>
          <t>Bill - NIAGARA BOTTLING, LLC: NDW05L40PDRPBN 05L.DR.NIAGARA.40P.N.48.PB</t>
        </is>
      </c>
      <c r="F34" s="11" t="n">
        <v>3561.6</v>
      </c>
      <c r="G34" s="11" t="n"/>
      <c r="H34" s="11" t="n">
        <v>3561.6</v>
      </c>
    </row>
    <row r="35">
      <c r="A35" s="21" t="n">
        <v>45748</v>
      </c>
      <c r="B35" t="inlineStr">
        <is>
          <t>31632094</t>
        </is>
      </c>
      <c r="C35" t="inlineStr">
        <is>
          <t>NIAGARA BOTTLING, LLC</t>
        </is>
      </c>
      <c r="D35" t="inlineStr">
        <is>
          <t>Water</t>
        </is>
      </c>
      <c r="E35" t="inlineStr">
        <is>
          <t>Bill - NIAGARA BOTTLING, LLC: 960 Cases @ $3.71</t>
        </is>
      </c>
      <c r="F35" s="11" t="n">
        <v>3561.6</v>
      </c>
      <c r="G35" s="11" t="n"/>
      <c r="H35" s="11" t="n">
        <v>3561.6</v>
      </c>
    </row>
    <row r="36">
      <c r="A36" s="21" t="n">
        <v>45748</v>
      </c>
      <c r="B36" t="inlineStr">
        <is>
          <t>nan</t>
        </is>
      </c>
      <c r="C36" t="inlineStr">
        <is>
          <t>Unknown</t>
        </is>
      </c>
      <c r="D36" t="inlineStr">
        <is>
          <t>Water</t>
        </is>
      </c>
      <c r="E36" t="inlineStr">
        <is>
          <t>APRIL GOOD CC; ALBERTSONS.COM #3204 877-505-4040, AZ-86403 ; water</t>
        </is>
      </c>
      <c r="F36" s="11" t="n">
        <v>89.84999999999999</v>
      </c>
      <c r="G36" s="11" t="n"/>
      <c r="H36" s="11" t="n">
        <v>89.84999999999999</v>
      </c>
    </row>
    <row r="37">
      <c r="A37" s="21" t="n">
        <v>45751</v>
      </c>
      <c r="B37" t="inlineStr">
        <is>
          <t>219046</t>
        </is>
      </c>
      <c r="C37" t="inlineStr">
        <is>
          <t>STAR FOODS INC.</t>
        </is>
      </c>
      <c r="D37" t="inlineStr">
        <is>
          <t>Food</t>
        </is>
      </c>
      <c r="E37" t="inlineStr">
        <is>
          <t>Bill - STAR FOODS INC.: Food items/Groceries</t>
        </is>
      </c>
      <c r="F37" s="11" t="n">
        <v>33515.04</v>
      </c>
      <c r="G37" s="11" t="n"/>
      <c r="H37" s="11" t="n">
        <v>33515.04</v>
      </c>
    </row>
    <row r="38">
      <c r="A38" s="21" t="n">
        <v>45757</v>
      </c>
      <c r="B38" t="inlineStr">
        <is>
          <t>219047</t>
        </is>
      </c>
      <c r="C38" t="inlineStr">
        <is>
          <t>STAR FOODS INC.</t>
        </is>
      </c>
      <c r="D38" t="inlineStr">
        <is>
          <t>Food</t>
        </is>
      </c>
      <c r="E38" t="inlineStr">
        <is>
          <t>Bill - STAR FOODS INC.: Food items/Groceries</t>
        </is>
      </c>
      <c r="F38" s="11" t="n">
        <v>33515.04</v>
      </c>
      <c r="G38" s="11" t="n"/>
      <c r="H38" s="11" t="n">
        <v>33515.04</v>
      </c>
    </row>
    <row r="39">
      <c r="A39" s="21" t="n">
        <v>45809</v>
      </c>
      <c r="B39" t="inlineStr">
        <is>
          <t>32261905</t>
        </is>
      </c>
      <c r="C39" t="inlineStr">
        <is>
          <t>NIAGARA BOTTLING, LLC</t>
        </is>
      </c>
      <c r="D39" t="inlineStr">
        <is>
          <t>Water</t>
        </is>
      </c>
      <c r="E39" t="inlineStr">
        <is>
          <t>Bill - NIAGARA BOTTLING, LLC: 960 Cases @ $3.71</t>
        </is>
      </c>
      <c r="F39" s="11" t="n">
        <v>3561.6</v>
      </c>
      <c r="G39" s="11" t="n"/>
      <c r="H39" s="11" t="n">
        <v>3561.6</v>
      </c>
    </row>
    <row r="40">
      <c r="A40" s="21" t="n">
        <v>45813</v>
      </c>
      <c r="B40" t="inlineStr">
        <is>
          <t>219103</t>
        </is>
      </c>
      <c r="C40" t="inlineStr">
        <is>
          <t>STAR FOODS INC.</t>
        </is>
      </c>
      <c r="D40" t="inlineStr">
        <is>
          <t>Food</t>
        </is>
      </c>
      <c r="E40" t="inlineStr">
        <is>
          <t>Bill - STAR FOODS INC.: Food items/Groceries</t>
        </is>
      </c>
      <c r="F40" s="11" t="n">
        <v>33515.04</v>
      </c>
      <c r="G40" s="11" t="n"/>
      <c r="H40" s="11" t="n">
        <v>33515.04</v>
      </c>
    </row>
    <row r="41">
      <c r="A41" s="21" t="n">
        <v>45822</v>
      </c>
      <c r="B41" t="inlineStr">
        <is>
          <t>32416766</t>
        </is>
      </c>
      <c r="C41" t="inlineStr">
        <is>
          <t>NIAGARA BOTTLING, LLC</t>
        </is>
      </c>
      <c r="D41" t="inlineStr">
        <is>
          <t>Water</t>
        </is>
      </c>
      <c r="E41" t="inlineStr">
        <is>
          <t>Bill - NIAGARA BOTTLING, LLC: 960 Cases @ $3.71</t>
        </is>
      </c>
      <c r="F41" s="11" t="n">
        <v>3561.6</v>
      </c>
      <c r="G41" s="11" t="n"/>
      <c r="H41" s="11" t="n">
        <v>3561.6</v>
      </c>
    </row>
    <row r="42">
      <c r="A42" s="21" t="n">
        <v>45839</v>
      </c>
      <c r="B42" t="inlineStr">
        <is>
          <t>219140</t>
        </is>
      </c>
      <c r="C42" t="inlineStr">
        <is>
          <t>STAR FOODS INC.</t>
        </is>
      </c>
      <c r="D42" t="inlineStr">
        <is>
          <t>Food</t>
        </is>
      </c>
      <c r="E42" t="inlineStr">
        <is>
          <t>Bill - STAR FOODS INC.: Food items/Groceries</t>
        </is>
      </c>
      <c r="F42" s="11" t="n">
        <v>30336</v>
      </c>
      <c r="G42" s="11" t="n"/>
      <c r="H42" s="11" t="n">
        <v>30336</v>
      </c>
    </row>
    <row r="43">
      <c r="A43" s="21" t="n">
        <v>45846</v>
      </c>
      <c r="B43" t="inlineStr">
        <is>
          <t>32542525</t>
        </is>
      </c>
      <c r="C43" t="inlineStr">
        <is>
          <t>NIAGARA BOTTLING, LLC</t>
        </is>
      </c>
      <c r="D43" t="inlineStr">
        <is>
          <t>Water</t>
        </is>
      </c>
      <c r="E43" t="inlineStr">
        <is>
          <t>Bill - NIAGARA BOTTLING, LLC: 05L.DR.NIAGARA.40P.N.48.CH</t>
        </is>
      </c>
      <c r="F43" s="11" t="n">
        <v>684.8</v>
      </c>
      <c r="G43" s="11" t="n"/>
      <c r="H43" s="11" t="n">
        <v>684.8</v>
      </c>
    </row>
    <row r="44">
      <c r="A44" s="21" t="n">
        <v>45846</v>
      </c>
      <c r="B44" t="inlineStr">
        <is>
          <t>32542525</t>
        </is>
      </c>
      <c r="C44" t="inlineStr">
        <is>
          <t>NIAGARA BOTTLING, LLC</t>
        </is>
      </c>
      <c r="D44" t="inlineStr">
        <is>
          <t>Water</t>
        </is>
      </c>
      <c r="E44" t="inlineStr">
        <is>
          <t>Bill - NIAGARA BOTTLING, LLC: 05L.DR.NIAGARA.40P.N.48.CH</t>
        </is>
      </c>
      <c r="F44" s="11" t="n">
        <v>2876.8</v>
      </c>
      <c r="G44" s="11" t="n"/>
      <c r="H44" s="11" t="n">
        <v>2876.8</v>
      </c>
    </row>
    <row r="45">
      <c r="A45" s="21" t="n">
        <v>45852</v>
      </c>
      <c r="B45" t="inlineStr">
        <is>
          <t>219200</t>
        </is>
      </c>
      <c r="C45" t="inlineStr">
        <is>
          <t>STAR FOODS INC.</t>
        </is>
      </c>
      <c r="D45" t="inlineStr">
        <is>
          <t>Food</t>
        </is>
      </c>
      <c r="E45" t="inlineStr">
        <is>
          <t>Bill - STAR FOODS INC.: Food items/Groceries</t>
        </is>
      </c>
      <c r="F45" s="11" t="n">
        <v>33258.96</v>
      </c>
      <c r="G45" s="11" t="n"/>
      <c r="H45" s="11" t="n">
        <v>33258.96</v>
      </c>
    </row>
    <row r="46">
      <c r="A46" s="21" t="n">
        <v>45859</v>
      </c>
      <c r="B46" t="inlineStr">
        <is>
          <t>219201</t>
        </is>
      </c>
      <c r="C46" t="inlineStr">
        <is>
          <t>STAR FOODS INC.</t>
        </is>
      </c>
      <c r="D46" t="inlineStr">
        <is>
          <t>Food</t>
        </is>
      </c>
      <c r="E46" t="inlineStr">
        <is>
          <t>Bill - STAR FOODS INC.: Food items/Groceries</t>
        </is>
      </c>
      <c r="F46" s="11" t="n">
        <v>32767.92</v>
      </c>
      <c r="G46" s="11" t="n"/>
      <c r="H46" s="11" t="n">
        <v>32767.92</v>
      </c>
    </row>
    <row r="47">
      <c r="A47" s="21" t="n">
        <v>45863</v>
      </c>
      <c r="B47" t="inlineStr">
        <is>
          <t>219202</t>
        </is>
      </c>
      <c r="C47" t="inlineStr">
        <is>
          <t>STAR FOODS INC.</t>
        </is>
      </c>
      <c r="D47" t="inlineStr">
        <is>
          <t>Food</t>
        </is>
      </c>
      <c r="E47" t="inlineStr">
        <is>
          <t>Bill - STAR FOODS INC.: Food items/Groceries</t>
        </is>
      </c>
      <c r="F47" s="11" t="n">
        <v>32604.72</v>
      </c>
      <c r="G47" s="11" t="n"/>
      <c r="H47" s="11" t="n">
        <v>32604.72</v>
      </c>
    </row>
    <row r="48">
      <c r="A48" s="21" t="n">
        <v>45864</v>
      </c>
      <c r="B48" t="inlineStr">
        <is>
          <t>32748544</t>
        </is>
      </c>
      <c r="C48" t="inlineStr">
        <is>
          <t>NIAGARA BOTTLING, LLC</t>
        </is>
      </c>
      <c r="D48" t="inlineStr">
        <is>
          <t>Water</t>
        </is>
      </c>
      <c r="E48" t="inlineStr">
        <is>
          <t>Bill - NIAGARA BOTTLING, LLC: 05L.DR.NIAGARA.40P.N.48.CH</t>
        </is>
      </c>
      <c r="F48" s="11" t="n">
        <v>684.8</v>
      </c>
      <c r="G48" s="11" t="n"/>
      <c r="H48" s="11" t="n">
        <v>684.8</v>
      </c>
    </row>
    <row r="49">
      <c r="A49" s="21" t="n">
        <v>45864</v>
      </c>
      <c r="B49" t="inlineStr">
        <is>
          <t>32748544</t>
        </is>
      </c>
      <c r="C49" t="inlineStr">
        <is>
          <t>NIAGARA BOTTLING, LLC</t>
        </is>
      </c>
      <c r="D49" t="inlineStr">
        <is>
          <t>Water</t>
        </is>
      </c>
      <c r="E49" t="inlineStr">
        <is>
          <t>Bill - NIAGARA BOTTLING, LLC: 05L.DR.NIAGARA.40P.N.48.CH</t>
        </is>
      </c>
      <c r="F49" s="11" t="n">
        <v>2876.8</v>
      </c>
      <c r="G49" s="11" t="n"/>
      <c r="H49" s="11" t="n">
        <v>2876.8</v>
      </c>
    </row>
    <row r="50">
      <c r="A50" s="21" t="n">
        <v>45875</v>
      </c>
      <c r="B50" t="inlineStr">
        <is>
          <t>219192</t>
        </is>
      </c>
      <c r="C50" t="inlineStr">
        <is>
          <t>STAR FOODS INC.</t>
        </is>
      </c>
      <c r="D50" t="inlineStr">
        <is>
          <t>Food</t>
        </is>
      </c>
      <c r="E50" t="inlineStr">
        <is>
          <t>Bill - STAR FOODS INC.: Food items/Groceries</t>
        </is>
      </c>
      <c r="F50" s="11" t="n">
        <v>30336</v>
      </c>
      <c r="G50" s="11" t="n"/>
      <c r="H50" s="11" t="n">
        <v>30336</v>
      </c>
    </row>
    <row r="51">
      <c r="A51" s="21" t="n">
        <v>45878</v>
      </c>
      <c r="B51" t="inlineStr">
        <is>
          <t>32916501</t>
        </is>
      </c>
      <c r="C51" t="inlineStr">
        <is>
          <t>NIAGARA BOTTLING, LLC</t>
        </is>
      </c>
      <c r="D51" t="inlineStr">
        <is>
          <t>Water</t>
        </is>
      </c>
      <c r="E51" t="inlineStr">
        <is>
          <t>Bill - NIAGARA BOTTLING, LLC: 05L.DR.NIAGARA.40P.N.48.CH</t>
        </is>
      </c>
      <c r="F51" s="11" t="n">
        <v>3561.6</v>
      </c>
      <c r="G51" s="11" t="n"/>
      <c r="H51" s="11" t="n">
        <v>3561.6</v>
      </c>
    </row>
    <row r="52">
      <c r="A52" s="21" t="n">
        <v>45892</v>
      </c>
      <c r="B52" t="inlineStr">
        <is>
          <t>33047719</t>
        </is>
      </c>
      <c r="C52" t="inlineStr">
        <is>
          <t>NIAGARA BOTTLING, LLC</t>
        </is>
      </c>
      <c r="D52" t="inlineStr">
        <is>
          <t>Water</t>
        </is>
      </c>
      <c r="E52" t="inlineStr">
        <is>
          <t>Bill - NIAGARA BOTTLING, LLC: 05L.DR.NIAGARA.40P.N.48.CH</t>
        </is>
      </c>
      <c r="F52" s="11" t="n">
        <v>3561.6</v>
      </c>
      <c r="G52" s="11" t="n"/>
      <c r="H52" s="11" t="n">
        <v>3561.6</v>
      </c>
    </row>
    <row r="53">
      <c r="A53" s="21" t="n">
        <v>45906</v>
      </c>
      <c r="B53" t="inlineStr">
        <is>
          <t>33167113</t>
        </is>
      </c>
      <c r="C53" t="inlineStr">
        <is>
          <t>NIAGARA BOTTLING, LLC</t>
        </is>
      </c>
      <c r="D53" t="inlineStr">
        <is>
          <t>Water</t>
        </is>
      </c>
      <c r="E53" t="inlineStr">
        <is>
          <t>Bill - NIAGARA BOTTLING, LLC: 05L.DR.NIAGARA.40P.N.48.CH</t>
        </is>
      </c>
      <c r="F53" s="11" t="n">
        <v>3561.6</v>
      </c>
      <c r="G53" s="11" t="n"/>
      <c r="H53" s="11" t="n">
        <v>3561.6</v>
      </c>
    </row>
    <row r="54">
      <c r="A54" s="21" t="n">
        <v>45920</v>
      </c>
      <c r="B54" t="inlineStr">
        <is>
          <t>33369264</t>
        </is>
      </c>
      <c r="C54" t="inlineStr">
        <is>
          <t>NIAGARA BOTTLING, LLC</t>
        </is>
      </c>
      <c r="D54" t="inlineStr">
        <is>
          <t>Water</t>
        </is>
      </c>
      <c r="E54" t="inlineStr">
        <is>
          <t>Bill - NIAGARA BOTTLING, LLC: 05L.DR.NIAGARA.40P.N.48.CH</t>
        </is>
      </c>
      <c r="F54" s="11" t="n">
        <v>3561.6</v>
      </c>
      <c r="G54" s="11" t="n"/>
      <c r="H54" s="11" t="n">
        <v>3561.6</v>
      </c>
    </row>
    <row r="55">
      <c r="A55" s="21" t="n">
        <v>45922</v>
      </c>
      <c r="B55" t="inlineStr">
        <is>
          <t>52946</t>
        </is>
      </c>
      <c r="C55" t="inlineStr">
        <is>
          <t>CIS, LLC</t>
        </is>
      </c>
      <c r="D55" t="inlineStr">
        <is>
          <t>Food</t>
        </is>
      </c>
      <c r="E55" t="inlineStr">
        <is>
          <t>Bill - CIS, LLC: Food items</t>
        </is>
      </c>
      <c r="F55" s="11" t="n">
        <v>23902.56</v>
      </c>
      <c r="G55" s="11" t="n"/>
      <c r="H55" s="11" t="n">
        <v>23902.56</v>
      </c>
    </row>
    <row r="56">
      <c r="A56" s="21" t="n">
        <v>45930</v>
      </c>
      <c r="B56" t="inlineStr">
        <is>
          <t>nan</t>
        </is>
      </c>
      <c r="C56" t="inlineStr">
        <is>
          <t>Unknown</t>
        </is>
      </c>
      <c r="D56" t="inlineStr">
        <is>
          <t>Food</t>
        </is>
      </c>
      <c r="E56" t="inlineStr">
        <is>
          <t>Reclass CIS Invoice 51613</t>
        </is>
      </c>
      <c r="F56" s="11" t="n">
        <v>30691.34</v>
      </c>
      <c r="G56" s="11" t="n"/>
      <c r="H56" s="11" t="n">
        <v>30691.34</v>
      </c>
    </row>
    <row r="57">
      <c r="A57" s="21" t="n">
        <v>45736</v>
      </c>
      <c r="B57" t="inlineStr">
        <is>
          <t>51613</t>
        </is>
      </c>
      <c r="C57" t="inlineStr">
        <is>
          <t>CIS, LLC</t>
        </is>
      </c>
      <c r="D57" t="inlineStr">
        <is>
          <t>Food</t>
        </is>
      </c>
      <c r="E57" t="inlineStr">
        <is>
          <t>Bill - CIS, LLC: Food items</t>
        </is>
      </c>
      <c r="F57" s="11" t="n">
        <v>30691.34</v>
      </c>
      <c r="G57" s="11" t="n"/>
      <c r="H57" s="11" t="n">
        <v>30691.34</v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:G1"/>
    </sheetView>
  </sheetViews>
  <sheetFormatPr baseColWidth="8" defaultRowHeight="14.5"/>
  <cols>
    <col width="12" customWidth="1" style="38" min="1" max="1"/>
    <col width="14" customWidth="1" style="38" min="2" max="2"/>
    <col width="26" customWidth="1" style="38" min="3" max="3"/>
    <col width="14" customWidth="1" style="38" min="4" max="4"/>
    <col width="12" customWidth="1" style="38" min="5" max="5"/>
    <col width="14" customWidth="1" style="38" min="6" max="7"/>
  </cols>
  <sheetData>
    <row r="1" ht="18.5" customHeight="1" s="38">
      <c r="A1" s="37" t="inlineStr">
        <is>
          <t>Deduplicated Water Invoices</t>
        </is>
      </c>
    </row>
    <row r="3">
      <c r="A3" s="8" t="inlineStr">
        <is>
          <t>Date</t>
        </is>
      </c>
      <c r="B3" s="8" t="inlineStr">
        <is>
          <t>Invoice #</t>
        </is>
      </c>
      <c r="C3" s="8" t="inlineStr">
        <is>
          <t>Supplier</t>
        </is>
      </c>
      <c r="D3" s="8" t="inlineStr">
        <is>
          <t>Category</t>
        </is>
      </c>
      <c r="E3" s="8" t="inlineStr">
        <is>
          <t>Quantity</t>
        </is>
      </c>
      <c r="F3" s="8" t="inlineStr">
        <is>
          <t>Unit Price ($)</t>
        </is>
      </c>
      <c r="G3" s="8" t="inlineStr">
        <is>
          <t>Amount ($)</t>
        </is>
      </c>
    </row>
    <row r="4">
      <c r="A4" s="21" t="n">
        <v>45682</v>
      </c>
      <c r="B4" t="inlineStr">
        <is>
          <t>31212067</t>
        </is>
      </c>
      <c r="C4" t="inlineStr">
        <is>
          <t>Niagara Bottling, LLC</t>
        </is>
      </c>
      <c r="D4" t="inlineStr">
        <is>
          <t>Water</t>
        </is>
      </c>
      <c r="E4" s="9" t="n">
        <v>960</v>
      </c>
      <c r="F4" s="11" t="n">
        <v>3.71</v>
      </c>
      <c r="G4" s="11" t="n">
        <v>3561.6</v>
      </c>
    </row>
    <row r="5">
      <c r="A5" s="21" t="n">
        <v>45702</v>
      </c>
      <c r="B5" t="inlineStr">
        <is>
          <t>31298681</t>
        </is>
      </c>
      <c r="C5" t="inlineStr">
        <is>
          <t>Niagara Bottling, LLC</t>
        </is>
      </c>
      <c r="D5" t="inlineStr">
        <is>
          <t>Water</t>
        </is>
      </c>
      <c r="E5" s="9" t="n">
        <v>960</v>
      </c>
      <c r="F5" s="11" t="n">
        <v>3.71</v>
      </c>
      <c r="G5" s="11" t="n">
        <v>3561.6</v>
      </c>
    </row>
    <row r="6">
      <c r="A6" s="21" t="n">
        <v>45710</v>
      </c>
      <c r="B6" t="inlineStr">
        <is>
          <t>31361281</t>
        </is>
      </c>
      <c r="C6" t="inlineStr">
        <is>
          <t>Niagara Bottling, LLC</t>
        </is>
      </c>
      <c r="D6" t="inlineStr">
        <is>
          <t>Water</t>
        </is>
      </c>
      <c r="E6" s="9" t="n">
        <v>960</v>
      </c>
      <c r="F6" s="11" t="n">
        <v>3.71</v>
      </c>
      <c r="G6" s="11" t="n">
        <v>3561.6</v>
      </c>
    </row>
    <row r="7">
      <c r="A7" s="21" t="n">
        <v>45724</v>
      </c>
      <c r="B7" t="inlineStr">
        <is>
          <t>31492471</t>
        </is>
      </c>
      <c r="C7" t="inlineStr">
        <is>
          <t>Niagara Bottling, LLC</t>
        </is>
      </c>
      <c r="D7" t="inlineStr">
        <is>
          <t>Water</t>
        </is>
      </c>
      <c r="E7" s="9" t="n">
        <v>960</v>
      </c>
      <c r="F7" s="11" t="n">
        <v>3.71</v>
      </c>
      <c r="G7" s="11" t="n">
        <v>3561.6</v>
      </c>
    </row>
    <row r="8">
      <c r="A8" s="21" t="n">
        <v>45738</v>
      </c>
      <c r="B8" t="inlineStr">
        <is>
          <t>31631379</t>
        </is>
      </c>
      <c r="C8" t="inlineStr">
        <is>
          <t>Niagara Bottling, LLC</t>
        </is>
      </c>
      <c r="D8" t="inlineStr">
        <is>
          <t>Water</t>
        </is>
      </c>
      <c r="E8" s="9" t="n">
        <v>960</v>
      </c>
      <c r="F8" s="11" t="n">
        <v>3.71</v>
      </c>
      <c r="G8" s="11" t="n">
        <v>3561.6</v>
      </c>
    </row>
    <row r="9">
      <c r="A9" s="21" t="n">
        <v>45738</v>
      </c>
      <c r="B9" t="inlineStr">
        <is>
          <t>31632094</t>
        </is>
      </c>
      <c r="C9" t="inlineStr">
        <is>
          <t>Niagara Bottling, LLC</t>
        </is>
      </c>
      <c r="D9" t="inlineStr">
        <is>
          <t>Water</t>
        </is>
      </c>
      <c r="E9" s="9" t="n">
        <v>960</v>
      </c>
      <c r="F9" s="11" t="n">
        <v>3.71</v>
      </c>
      <c r="G9" s="11" t="n">
        <v>3561.6</v>
      </c>
    </row>
    <row r="10">
      <c r="A10" s="21" t="n">
        <v>45745</v>
      </c>
      <c r="B10" t="inlineStr">
        <is>
          <t>31695234</t>
        </is>
      </c>
      <c r="C10" t="inlineStr">
        <is>
          <t>Niagara Bottling, LLC</t>
        </is>
      </c>
      <c r="D10" t="inlineStr">
        <is>
          <t>Water</t>
        </is>
      </c>
      <c r="E10" s="9" t="n">
        <v>960</v>
      </c>
      <c r="F10" s="11" t="n">
        <v>3.71</v>
      </c>
      <c r="G10" s="11" t="n">
        <v>3561.6</v>
      </c>
    </row>
    <row r="11">
      <c r="A11" s="21" t="n">
        <v>45808</v>
      </c>
      <c r="B11" t="inlineStr">
        <is>
          <t>32261905</t>
        </is>
      </c>
      <c r="C11" t="inlineStr">
        <is>
          <t>Niagara Bottling, LLC</t>
        </is>
      </c>
      <c r="D11" t="inlineStr">
        <is>
          <t>Water</t>
        </is>
      </c>
      <c r="E11" s="9" t="n">
        <v>960</v>
      </c>
      <c r="F11" s="11" t="n">
        <v>3.71</v>
      </c>
      <c r="G11" s="11" t="n">
        <v>3561.6</v>
      </c>
    </row>
    <row r="12">
      <c r="A12" s="21" t="n">
        <v>45822</v>
      </c>
      <c r="B12" t="inlineStr">
        <is>
          <t>32416766</t>
        </is>
      </c>
      <c r="C12" t="inlineStr">
        <is>
          <t>Niagara Bottling, LLC</t>
        </is>
      </c>
      <c r="D12" t="inlineStr">
        <is>
          <t>Water</t>
        </is>
      </c>
      <c r="E12" s="9" t="n">
        <v>960</v>
      </c>
      <c r="F12" s="11" t="n">
        <v>3.71</v>
      </c>
      <c r="G12" s="11" t="n">
        <v>3561.6</v>
      </c>
    </row>
    <row r="13">
      <c r="A13" s="21" t="n">
        <v>45836</v>
      </c>
      <c r="B13" t="inlineStr">
        <is>
          <t>32542525</t>
        </is>
      </c>
      <c r="C13" t="inlineStr">
        <is>
          <t>Niagara Bottling, LLC</t>
        </is>
      </c>
      <c r="D13" t="inlineStr">
        <is>
          <t>Water</t>
        </is>
      </c>
      <c r="E13" s="9" t="n">
        <v>960</v>
      </c>
      <c r="F13" s="11" t="n">
        <v>3.71</v>
      </c>
      <c r="G13" s="11" t="n">
        <v>3561.6</v>
      </c>
    </row>
    <row r="14">
      <c r="A14" s="21" t="n">
        <v>45864</v>
      </c>
      <c r="B14" t="inlineStr">
        <is>
          <t>32748544</t>
        </is>
      </c>
      <c r="C14" t="inlineStr">
        <is>
          <t>Niagara Bottling, LLC</t>
        </is>
      </c>
      <c r="D14" t="inlineStr">
        <is>
          <t>Water</t>
        </is>
      </c>
      <c r="E14" s="9" t="n">
        <v>960</v>
      </c>
      <c r="F14" s="11" t="n">
        <v>3.71</v>
      </c>
      <c r="G14" s="11" t="n">
        <v>3561.6</v>
      </c>
    </row>
    <row r="15">
      <c r="A15" s="21" t="n">
        <v>45878</v>
      </c>
      <c r="B15" t="inlineStr">
        <is>
          <t>32916501</t>
        </is>
      </c>
      <c r="C15" t="inlineStr">
        <is>
          <t>Niagara Bottling, LLC</t>
        </is>
      </c>
      <c r="D15" t="inlineStr">
        <is>
          <t>Water</t>
        </is>
      </c>
      <c r="E15" s="9" t="n">
        <v>960</v>
      </c>
      <c r="F15" s="11" t="n">
        <v>3.71</v>
      </c>
      <c r="G15" s="11" t="n">
        <v>3561.6</v>
      </c>
    </row>
    <row r="16">
      <c r="A16" s="21" t="n">
        <v>45892</v>
      </c>
      <c r="B16" t="inlineStr">
        <is>
          <t>33047719</t>
        </is>
      </c>
      <c r="C16" t="inlineStr">
        <is>
          <t>Niagara Bottling, LLC</t>
        </is>
      </c>
      <c r="D16" t="inlineStr">
        <is>
          <t>Water</t>
        </is>
      </c>
      <c r="E16" s="9" t="n">
        <v>960</v>
      </c>
      <c r="F16" s="11" t="n">
        <v>3.71</v>
      </c>
      <c r="G16" s="11" t="n">
        <v>3561.6</v>
      </c>
    </row>
    <row r="17">
      <c r="A17" s="21" t="n">
        <v>45906</v>
      </c>
      <c r="B17" t="inlineStr">
        <is>
          <t>33167113</t>
        </is>
      </c>
      <c r="C17" t="inlineStr">
        <is>
          <t>Niagara Bottling, LLC</t>
        </is>
      </c>
      <c r="D17" t="inlineStr">
        <is>
          <t>Water</t>
        </is>
      </c>
      <c r="E17" s="9" t="n">
        <v>960</v>
      </c>
      <c r="F17" s="11" t="n">
        <v>3.71</v>
      </c>
      <c r="G17" s="11" t="n">
        <v>3561.6</v>
      </c>
    </row>
    <row r="18">
      <c r="A18" s="21" t="n">
        <v>45920</v>
      </c>
      <c r="B18" t="inlineStr">
        <is>
          <t>33369264</t>
        </is>
      </c>
      <c r="C18" t="inlineStr">
        <is>
          <t>Niagara Bottling, LLC</t>
        </is>
      </c>
      <c r="D18" t="inlineStr">
        <is>
          <t>Water</t>
        </is>
      </c>
      <c r="E18" s="9" t="n">
        <v>960</v>
      </c>
      <c r="F18" s="11" t="n">
        <v>3.71</v>
      </c>
      <c r="G18" s="11" t="n">
        <v>3561.6</v>
      </c>
    </row>
    <row r="19">
      <c r="A19" t="inlineStr">
        <is>
          <t>Total Orders</t>
        </is>
      </c>
      <c r="B19" s="9">
        <f>COUNTA(B4:B18)</f>
        <v/>
      </c>
      <c r="G19" s="11">
        <f>SUM(G4:G18)</f>
        <v/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3" topLeftCell="A4" activePane="bottomLeft" state="frozen"/>
      <selection pane="bottomLeft" activeCell="A1" sqref="A1:J1"/>
    </sheetView>
  </sheetViews>
  <sheetFormatPr baseColWidth="8" defaultRowHeight="14.5"/>
  <cols>
    <col width="12" customWidth="1" style="38" min="1" max="2"/>
    <col width="16" customWidth="1" style="38" min="3" max="3"/>
    <col width="55" customWidth="1" style="38" min="4" max="4"/>
    <col width="26" customWidth="1" style="38" min="5" max="5"/>
    <col width="10" customWidth="1" style="38" min="6" max="6"/>
    <col width="14" customWidth="1" style="38" min="7" max="10"/>
  </cols>
  <sheetData>
    <row r="1" ht="18.5" customHeight="1" s="38">
      <c r="A1" s="37" t="inlineStr">
        <is>
          <t>Raw General Ledger</t>
        </is>
      </c>
    </row>
    <row r="3">
      <c r="A3" s="8" t="inlineStr">
        <is>
          <t>Posted dt.</t>
        </is>
      </c>
      <c r="B3" s="8" t="inlineStr">
        <is>
          <t>Doc dt.</t>
        </is>
      </c>
      <c r="C3" s="8" t="inlineStr">
        <is>
          <t>Doc</t>
        </is>
      </c>
      <c r="D3" s="8" t="inlineStr">
        <is>
          <t>Memo/Description</t>
        </is>
      </c>
      <c r="E3" s="8" t="inlineStr">
        <is>
          <t>Vendor name</t>
        </is>
      </c>
      <c r="F3" s="8" t="inlineStr">
        <is>
          <t>JNL</t>
        </is>
      </c>
      <c r="G3" s="8" t="inlineStr">
        <is>
          <t>Debit</t>
        </is>
      </c>
      <c r="H3" s="8" t="inlineStr">
        <is>
          <t>Credit</t>
        </is>
      </c>
      <c r="I3" s="8" t="inlineStr">
        <is>
          <t>Balance</t>
        </is>
      </c>
      <c r="J3" s="8" t="inlineStr">
        <is>
          <t>Net</t>
        </is>
      </c>
    </row>
    <row r="4">
      <c r="A4" s="21" t="n">
        <v>45566</v>
      </c>
      <c r="B4" s="21" t="n">
        <v>45566</v>
      </c>
      <c r="C4" t="inlineStr">
        <is>
          <t>218777</t>
        </is>
      </c>
      <c r="D4" t="inlineStr">
        <is>
          <t>Bill - STAR FOODS INC.: Whole Kernal Corn NSA 24/15 oz.</t>
        </is>
      </c>
      <c r="E4" t="inlineStr">
        <is>
          <t>STAR FOODS INC.</t>
        </is>
      </c>
      <c r="F4" t="inlineStr">
        <is>
          <t>APJ</t>
        </is>
      </c>
      <c r="G4" s="11" t="n">
        <v>28370.88</v>
      </c>
      <c r="H4" s="11" t="n"/>
      <c r="I4" s="11" t="n">
        <v>28370.88</v>
      </c>
      <c r="J4" s="11" t="n">
        <v>28370.88</v>
      </c>
    </row>
    <row r="5">
      <c r="A5" s="21" t="n">
        <v>45566</v>
      </c>
      <c r="B5" s="21" t="n">
        <v>45566</v>
      </c>
      <c r="C5" t="inlineStr">
        <is>
          <t>Reversed -</t>
        </is>
      </c>
      <c r="D5" t="inlineStr">
        <is>
          <t>Reversed -- FY24 Accrued Expenses - StarFoods</t>
        </is>
      </c>
      <c r="F5" t="inlineStr">
        <is>
          <t>GJ</t>
        </is>
      </c>
      <c r="G5" s="11" t="n"/>
      <c r="H5" s="11" t="n">
        <v>28370.88</v>
      </c>
      <c r="I5" s="11" t="n">
        <v>0</v>
      </c>
      <c r="J5" s="11" t="n">
        <v>-28370.88</v>
      </c>
    </row>
    <row r="6">
      <c r="A6" s="21" t="n">
        <v>45570</v>
      </c>
      <c r="B6" s="21" t="n">
        <v>45570</v>
      </c>
      <c r="C6" t="inlineStr">
        <is>
          <t>30658668</t>
        </is>
      </c>
      <c r="D6" t="inlineStr">
        <is>
          <t>Bill - NIAGARA BOTTLING, LLC: Water</t>
        </is>
      </c>
      <c r="E6" t="inlineStr">
        <is>
          <t>NIAGARA BOTTLING, LLC</t>
        </is>
      </c>
      <c r="F6" t="inlineStr">
        <is>
          <t>APJ</t>
        </is>
      </c>
      <c r="G6" s="11" t="n">
        <v>3561.6</v>
      </c>
      <c r="H6" s="11" t="n"/>
      <c r="I6" s="11" t="n">
        <v>3561.6</v>
      </c>
      <c r="J6" s="11" t="n">
        <v>3561.6</v>
      </c>
    </row>
    <row r="7">
      <c r="A7" s="21" t="n">
        <v>45576</v>
      </c>
      <c r="B7" s="21" t="n">
        <v>45576</v>
      </c>
      <c r="C7" t="inlineStr">
        <is>
          <t>3057986-IN</t>
        </is>
      </c>
      <c r="D7" t="inlineStr">
        <is>
          <t>Bill - GLOBAL FOODS INC.: Creamy Peanut Butter</t>
        </is>
      </c>
      <c r="E7" t="inlineStr">
        <is>
          <t>GLOBAL FOODS INC.</t>
        </is>
      </c>
      <c r="F7" t="inlineStr">
        <is>
          <t>APJ</t>
        </is>
      </c>
      <c r="G7" s="11" t="n">
        <v>11777.6</v>
      </c>
      <c r="H7" s="11" t="n"/>
      <c r="I7" s="11" t="n">
        <v>15339.2</v>
      </c>
      <c r="J7" s="11" t="n">
        <v>11777.6</v>
      </c>
    </row>
    <row r="8">
      <c r="A8" s="21" t="n">
        <v>45577</v>
      </c>
      <c r="B8" s="21" t="n">
        <v>45577</v>
      </c>
      <c r="C8" t="inlineStr">
        <is>
          <t>30698733</t>
        </is>
      </c>
      <c r="D8" t="inlineStr">
        <is>
          <t>Bill - NIAGARA BOTTLING, LLC: Water</t>
        </is>
      </c>
      <c r="E8" t="inlineStr">
        <is>
          <t>NIAGARA BOTTLING, LLC</t>
        </is>
      </c>
      <c r="F8" t="inlineStr">
        <is>
          <t>APJ</t>
        </is>
      </c>
      <c r="G8" s="11" t="n">
        <v>3561.6</v>
      </c>
      <c r="H8" s="11" t="n"/>
      <c r="I8" s="11" t="n">
        <v>18900.8</v>
      </c>
      <c r="J8" s="11" t="n">
        <v>3561.6</v>
      </c>
    </row>
    <row r="9">
      <c r="A9" s="21" t="n">
        <v>45583</v>
      </c>
      <c r="B9" s="21" t="n">
        <v>45583</v>
      </c>
      <c r="C9" t="inlineStr">
        <is>
          <t>021000022924330</t>
        </is>
      </c>
      <c r="D9" t="inlineStr">
        <is>
          <t>Bill - NIAGARA BOTTLING, LLC</t>
        </is>
      </c>
      <c r="E9" t="inlineStr">
        <is>
          <t>NIAGARA BOTTLING, LLC</t>
        </is>
      </c>
      <c r="F9" t="inlineStr">
        <is>
          <t>APJ</t>
        </is>
      </c>
      <c r="G9" s="11" t="n">
        <v>3.56</v>
      </c>
      <c r="H9" s="11" t="n"/>
      <c r="I9" s="11" t="n">
        <v>18904.36</v>
      </c>
      <c r="J9" s="11" t="n">
        <v>3.56</v>
      </c>
    </row>
    <row r="10">
      <c r="A10" s="21" t="n">
        <v>45584</v>
      </c>
      <c r="B10" s="21" t="n">
        <v>45584</v>
      </c>
      <c r="C10" t="inlineStr">
        <is>
          <t>30733894</t>
        </is>
      </c>
      <c r="D10" t="inlineStr">
        <is>
          <t>Bill - NIAGARA BOTTLING, LLC: Water</t>
        </is>
      </c>
      <c r="E10" t="inlineStr">
        <is>
          <t>NIAGARA BOTTLING, LLC</t>
        </is>
      </c>
      <c r="F10" t="inlineStr">
        <is>
          <t>APJ</t>
        </is>
      </c>
      <c r="G10" s="11" t="n">
        <v>3561.6</v>
      </c>
      <c r="H10" s="11" t="n"/>
      <c r="I10" s="11" t="n">
        <v>22465.96</v>
      </c>
      <c r="J10" s="11" t="n">
        <v>3561.6</v>
      </c>
    </row>
    <row r="11">
      <c r="A11" s="21" t="n">
        <v>45595</v>
      </c>
      <c r="B11" s="21" t="n">
        <v>45595</v>
      </c>
      <c r="D11" t="inlineStr">
        <is>
          <t>Reclass CIS Invoice 36978</t>
        </is>
      </c>
      <c r="F11" t="inlineStr">
        <is>
          <t>GJ</t>
        </is>
      </c>
      <c r="G11" s="11" t="n">
        <v>12543.6</v>
      </c>
      <c r="H11" s="11" t="n"/>
      <c r="I11" s="11" t="n">
        <v>35009.56</v>
      </c>
      <c r="J11" s="11" t="n">
        <v>12543.6</v>
      </c>
    </row>
    <row r="12">
      <c r="A12" s="21" t="n">
        <v>45598</v>
      </c>
      <c r="B12" s="21" t="n">
        <v>45598</v>
      </c>
      <c r="C12" t="inlineStr">
        <is>
          <t>30794368</t>
        </is>
      </c>
      <c r="D12" t="inlineStr">
        <is>
          <t>Bill - NIAGARA BOTTLING, LLC: Water</t>
        </is>
      </c>
      <c r="E12" t="inlineStr">
        <is>
          <t>NIAGARA BOTTLING, LLC</t>
        </is>
      </c>
      <c r="F12" t="inlineStr">
        <is>
          <t>APJ</t>
        </is>
      </c>
      <c r="G12" s="11" t="n">
        <v>3561.6</v>
      </c>
      <c r="H12" s="11" t="n"/>
      <c r="I12" s="11" t="n">
        <v>38571.16</v>
      </c>
      <c r="J12" s="11" t="n">
        <v>3561.6</v>
      </c>
    </row>
    <row r="13">
      <c r="A13" s="21" t="n">
        <v>45600</v>
      </c>
      <c r="B13" s="21" t="n">
        <v>45600</v>
      </c>
      <c r="C13" t="inlineStr">
        <is>
          <t>218822</t>
        </is>
      </c>
      <c r="D13" t="inlineStr">
        <is>
          <t>Bill - STAR FOODS INC.: Dry Grocery Order</t>
        </is>
      </c>
      <c r="E13" t="inlineStr">
        <is>
          <t>STAR FOODS INC.</t>
        </is>
      </c>
      <c r="F13" t="inlineStr">
        <is>
          <t>APJ</t>
        </is>
      </c>
      <c r="G13" s="11" t="n">
        <v>29590.28</v>
      </c>
      <c r="H13" s="11" t="n"/>
      <c r="I13" s="11" t="n">
        <v>68161.44</v>
      </c>
      <c r="J13" s="11" t="n">
        <v>29590.28</v>
      </c>
    </row>
    <row r="14">
      <c r="A14" s="21" t="n">
        <v>45600</v>
      </c>
      <c r="B14" s="21" t="n">
        <v>45600</v>
      </c>
      <c r="C14" t="inlineStr">
        <is>
          <t>218822</t>
        </is>
      </c>
      <c r="D14" t="inlineStr">
        <is>
          <t>Bill - STAR FOODS INC.: Whole Kernal Corn NSA 24/15 oz.</t>
        </is>
      </c>
      <c r="E14" t="inlineStr">
        <is>
          <t>STAR FOODS INC.</t>
        </is>
      </c>
      <c r="F14" t="inlineStr">
        <is>
          <t>APJ</t>
        </is>
      </c>
      <c r="G14" s="11" t="n">
        <v>1446.76</v>
      </c>
      <c r="H14" s="11" t="n"/>
      <c r="I14" s="11" t="n">
        <v>69608.2</v>
      </c>
      <c r="J14" s="11" t="n">
        <v>1446.76</v>
      </c>
    </row>
    <row r="15">
      <c r="A15" s="21" t="n">
        <v>45612</v>
      </c>
      <c r="B15" s="21" t="n">
        <v>45612</v>
      </c>
      <c r="C15" t="inlineStr">
        <is>
          <t>30852066</t>
        </is>
      </c>
      <c r="D15" t="inlineStr">
        <is>
          <t>Bill - NIAGARA BOTTLING, LLC: 960 Cases @$3.71</t>
        </is>
      </c>
      <c r="E15" t="inlineStr">
        <is>
          <t>NIAGARA BOTTLING, LLC</t>
        </is>
      </c>
      <c r="F15" t="inlineStr">
        <is>
          <t>APJ</t>
        </is>
      </c>
      <c r="G15" s="11" t="n">
        <v>3561.6</v>
      </c>
      <c r="H15" s="11" t="n"/>
      <c r="I15" s="11" t="n">
        <v>73169.8</v>
      </c>
      <c r="J15" s="11" t="n">
        <v>3561.6</v>
      </c>
    </row>
    <row r="16">
      <c r="A16" s="21" t="n">
        <v>45621</v>
      </c>
      <c r="B16" s="21" t="n">
        <v>45621</v>
      </c>
      <c r="C16" t="inlineStr">
        <is>
          <t>218855</t>
        </is>
      </c>
      <c r="D16" t="inlineStr">
        <is>
          <t>Bill - STAR FOODS INC.: Dry Grocery Order</t>
        </is>
      </c>
      <c r="E16" t="inlineStr">
        <is>
          <t>STAR FOODS INC.</t>
        </is>
      </c>
      <c r="F16" t="inlineStr">
        <is>
          <t>APJ</t>
        </is>
      </c>
      <c r="G16" s="11" t="n">
        <v>35792.03</v>
      </c>
      <c r="H16" s="11" t="n"/>
      <c r="I16" s="11" t="n">
        <v>108961.83</v>
      </c>
      <c r="J16" s="11" t="n">
        <v>35792.03</v>
      </c>
    </row>
    <row r="17">
      <c r="A17" s="21" t="n">
        <v>45621</v>
      </c>
      <c r="B17" s="21" t="n">
        <v>45621</v>
      </c>
      <c r="C17" t="inlineStr">
        <is>
          <t>3058500-IN</t>
        </is>
      </c>
      <c r="D17" t="inlineStr">
        <is>
          <t>Bill - GLOBAL FOODS INC.: Kroger -Ground Beef 12/48</t>
        </is>
      </c>
      <c r="E17" t="inlineStr">
        <is>
          <t>GLOBAL FOODS INC.</t>
        </is>
      </c>
      <c r="F17" t="inlineStr">
        <is>
          <t>APJ</t>
        </is>
      </c>
      <c r="G17" s="11" t="n">
        <v>9702</v>
      </c>
      <c r="H17" s="11" t="n"/>
      <c r="I17" s="11" t="n">
        <v>118663.83</v>
      </c>
      <c r="J17" s="11" t="n">
        <v>9702</v>
      </c>
    </row>
    <row r="18">
      <c r="A18" s="21" t="n">
        <v>45626</v>
      </c>
      <c r="B18" s="21" t="n">
        <v>45626</v>
      </c>
      <c r="C18" t="inlineStr">
        <is>
          <t>30903981</t>
        </is>
      </c>
      <c r="D18" t="inlineStr">
        <is>
          <t>Bill - NIAGARA BOTTLING, LLC: 960 Cases @ $3.71</t>
        </is>
      </c>
      <c r="E18" t="inlineStr">
        <is>
          <t>NIAGARA BOTTLING, LLC</t>
        </is>
      </c>
      <c r="F18" t="inlineStr">
        <is>
          <t>APJ</t>
        </is>
      </c>
      <c r="G18" s="11" t="n">
        <v>3561.6</v>
      </c>
      <c r="H18" s="11" t="n"/>
      <c r="I18" s="11" t="n">
        <v>122225.43</v>
      </c>
      <c r="J18" s="11" t="n">
        <v>3561.6</v>
      </c>
    </row>
    <row r="19">
      <c r="A19" s="21" t="n">
        <v>45635</v>
      </c>
      <c r="B19" s="21" t="n">
        <v>45635</v>
      </c>
      <c r="C19" t="inlineStr">
        <is>
          <t>3058597-IN</t>
        </is>
      </c>
      <c r="D19" t="inlineStr">
        <is>
          <t>Bill - GLOBAL FOODS INC.: Kroger -Ground Beef 80/20 &amp; kroge</t>
        </is>
      </c>
      <c r="E19" t="inlineStr">
        <is>
          <t>GLOBAL FOODS INC.</t>
        </is>
      </c>
      <c r="F19" t="inlineStr">
        <is>
          <t>APJ</t>
        </is>
      </c>
      <c r="G19" s="11" t="n">
        <v>17404.8</v>
      </c>
      <c r="H19" s="11" t="n"/>
      <c r="I19" s="11" t="n">
        <v>139630.23</v>
      </c>
      <c r="J19" s="11" t="n">
        <v>17404.8</v>
      </c>
    </row>
    <row r="20">
      <c r="A20" s="21" t="n">
        <v>45637</v>
      </c>
      <c r="B20" s="21" t="n">
        <v>45637</v>
      </c>
      <c r="C20" t="inlineStr">
        <is>
          <t>3058631-IN</t>
        </is>
      </c>
      <c r="D20" t="inlineStr">
        <is>
          <t>Bill - GLOBAL FOODS INC.: Creamy Peanut Butter 12/18 oz</t>
        </is>
      </c>
      <c r="E20" t="inlineStr">
        <is>
          <t>GLOBAL FOODS INC.</t>
        </is>
      </c>
      <c r="F20" t="inlineStr">
        <is>
          <t>APJ</t>
        </is>
      </c>
      <c r="G20" s="11" t="n">
        <v>11777.6</v>
      </c>
      <c r="H20" s="11" t="n"/>
      <c r="I20" s="11" t="n">
        <v>151407.83</v>
      </c>
      <c r="J20" s="11" t="n">
        <v>11777.6</v>
      </c>
    </row>
    <row r="21">
      <c r="A21" s="21" t="n">
        <v>45640</v>
      </c>
      <c r="B21" s="21" t="n">
        <v>45640</v>
      </c>
      <c r="C21" t="inlineStr">
        <is>
          <t>30960939</t>
        </is>
      </c>
      <c r="D21" t="inlineStr">
        <is>
          <t>Bill - NIAGARA BOTTLING, LLC: 960 Cases @ $3.71</t>
        </is>
      </c>
      <c r="E21" t="inlineStr">
        <is>
          <t>NIAGARA BOTTLING, LLC</t>
        </is>
      </c>
      <c r="F21" t="inlineStr">
        <is>
          <t>APJ</t>
        </is>
      </c>
      <c r="G21" s="11" t="n">
        <v>3561.6</v>
      </c>
      <c r="H21" s="11" t="n"/>
      <c r="I21" s="11" t="n">
        <v>154969.43</v>
      </c>
      <c r="J21" s="11" t="n">
        <v>3561.6</v>
      </c>
    </row>
    <row r="22">
      <c r="A22" s="21" t="n">
        <v>45646</v>
      </c>
      <c r="B22" s="21" t="n">
        <v>45646</v>
      </c>
      <c r="C22" t="inlineStr">
        <is>
          <t>218867</t>
        </is>
      </c>
      <c r="D22" t="inlineStr">
        <is>
          <t>Bill - STAR FOODS INC.: Food items/Groceries</t>
        </is>
      </c>
      <c r="E22" t="inlineStr">
        <is>
          <t>STAR FOODS INC.</t>
        </is>
      </c>
      <c r="F22" t="inlineStr">
        <is>
          <t>APJ</t>
        </is>
      </c>
      <c r="G22" s="11" t="n">
        <v>26168.52</v>
      </c>
      <c r="H22" s="11" t="n"/>
      <c r="I22" s="11" t="n">
        <v>181137.95</v>
      </c>
      <c r="J22" s="11" t="n">
        <v>26168.52</v>
      </c>
    </row>
    <row r="23">
      <c r="A23" s="21" t="n">
        <v>45647</v>
      </c>
      <c r="B23" s="21" t="n">
        <v>45647</v>
      </c>
      <c r="C23" t="inlineStr">
        <is>
          <t>30990822</t>
        </is>
      </c>
      <c r="D23" t="inlineStr">
        <is>
          <t>Bill - NIAGARA BOTTLING, LLC</t>
        </is>
      </c>
      <c r="E23" t="inlineStr">
        <is>
          <t>NIAGARA BOTTLING, LLC</t>
        </is>
      </c>
      <c r="F23" t="inlineStr">
        <is>
          <t>APJ</t>
        </is>
      </c>
      <c r="G23" s="11" t="n">
        <v>3561.6</v>
      </c>
      <c r="H23" s="11" t="n"/>
      <c r="I23" s="11" t="n">
        <v>184699.55</v>
      </c>
      <c r="J23" s="11" t="n">
        <v>3561.6</v>
      </c>
    </row>
    <row r="24">
      <c r="A24" s="21" t="n">
        <v>45668</v>
      </c>
      <c r="B24" s="21" t="n">
        <v>45668</v>
      </c>
      <c r="C24" t="inlineStr">
        <is>
          <t>31142515</t>
        </is>
      </c>
      <c r="D24" t="inlineStr">
        <is>
          <t>Bill - NIAGARA BOTTLING, LLC: Cases of Water</t>
        </is>
      </c>
      <c r="E24" t="inlineStr">
        <is>
          <t>NIAGARA BOTTLING, LLC</t>
        </is>
      </c>
      <c r="F24" t="inlineStr">
        <is>
          <t>APJ</t>
        </is>
      </c>
      <c r="G24" s="11" t="n">
        <v>3561.6</v>
      </c>
      <c r="H24" s="11" t="n"/>
      <c r="I24" s="11" t="n">
        <v>188261.15</v>
      </c>
      <c r="J24" s="11" t="n">
        <v>3561.6</v>
      </c>
    </row>
    <row r="25">
      <c r="A25" s="21" t="n">
        <v>45710</v>
      </c>
      <c r="B25" s="21" t="n">
        <v>45710</v>
      </c>
      <c r="C25" t="inlineStr">
        <is>
          <t>31361281</t>
        </is>
      </c>
      <c r="D25" t="inlineStr">
        <is>
          <t>Bill - NIAGARA BOTTLING, LLC: NDW05L40PDRPBN 05L.DR.NIAGARA.40P.N.48.PB</t>
        </is>
      </c>
      <c r="E25" t="inlineStr">
        <is>
          <t>NIAGARA BOTTLING, LLC</t>
        </is>
      </c>
      <c r="F25" t="inlineStr">
        <is>
          <t>APJ</t>
        </is>
      </c>
      <c r="G25" s="11" t="n">
        <v>3561.6</v>
      </c>
      <c r="H25" s="11" t="n"/>
      <c r="I25" s="11" t="n">
        <v>191822.75</v>
      </c>
      <c r="J25" s="11" t="n">
        <v>3561.6</v>
      </c>
    </row>
    <row r="26">
      <c r="A26" s="21" t="n">
        <v>45717</v>
      </c>
      <c r="B26" s="21" t="n">
        <v>45717</v>
      </c>
      <c r="C26" t="inlineStr">
        <is>
          <t>31212067</t>
        </is>
      </c>
      <c r="D26" t="inlineStr">
        <is>
          <t>Bill - NIAGARA BOTTLING, LLC: Cases of water 960 Cases @ $3.71</t>
        </is>
      </c>
      <c r="E26" t="inlineStr">
        <is>
          <t>NIAGARA BOTTLING, LLC</t>
        </is>
      </c>
      <c r="F26" t="inlineStr">
        <is>
          <t>APJ</t>
        </is>
      </c>
      <c r="G26" s="11" t="n">
        <v>3561.6</v>
      </c>
      <c r="H26" s="11" t="n"/>
      <c r="I26" s="11" t="n">
        <v>195384.35</v>
      </c>
      <c r="J26" s="11" t="n">
        <v>3561.6</v>
      </c>
    </row>
    <row r="27">
      <c r="A27" s="21" t="n">
        <v>45717</v>
      </c>
      <c r="B27" s="21" t="n">
        <v>45717</v>
      </c>
      <c r="C27" t="inlineStr">
        <is>
          <t>31298681</t>
        </is>
      </c>
      <c r="D27" t="inlineStr">
        <is>
          <t>Bill - NIAGARA BOTTLING, LLC: Cases of water 960 Cases @ $3.71</t>
        </is>
      </c>
      <c r="E27" t="inlineStr">
        <is>
          <t>NIAGARA BOTTLING, LLC</t>
        </is>
      </c>
      <c r="F27" t="inlineStr">
        <is>
          <t>APJ</t>
        </is>
      </c>
      <c r="G27" s="11" t="n">
        <v>3561.6</v>
      </c>
      <c r="H27" s="11" t="n"/>
      <c r="I27" s="11" t="n">
        <v>198945.95</v>
      </c>
      <c r="J27" s="11" t="n">
        <v>3561.6</v>
      </c>
    </row>
    <row r="28">
      <c r="A28" s="21" t="n">
        <v>45719</v>
      </c>
      <c r="B28" s="21" t="n">
        <v>45719</v>
      </c>
      <c r="C28" t="inlineStr">
        <is>
          <t>03032025</t>
        </is>
      </c>
      <c r="D28" t="inlineStr">
        <is>
          <t>Bill - Utah Beef Producers LLC: Fee for service ground Beef</t>
        </is>
      </c>
      <c r="E28" t="inlineStr">
        <is>
          <t>Utah Beef Producers LLC</t>
        </is>
      </c>
      <c r="F28" t="inlineStr">
        <is>
          <t>APJ</t>
        </is>
      </c>
      <c r="G28" s="11" t="n">
        <v>13454</v>
      </c>
      <c r="H28" s="11" t="n"/>
      <c r="I28" s="11" t="n">
        <v>212399.95</v>
      </c>
      <c r="J28" s="11" t="n">
        <v>13454</v>
      </c>
    </row>
    <row r="29">
      <c r="A29" s="21" t="n">
        <v>45723</v>
      </c>
      <c r="B29" s="21" t="n">
        <v>45723</v>
      </c>
      <c r="C29" t="inlineStr">
        <is>
          <t>219004</t>
        </is>
      </c>
      <c r="D29" t="inlineStr">
        <is>
          <t>Bill - STAR FOODS INC.: Food items/Groceries</t>
        </is>
      </c>
      <c r="E29" t="inlineStr">
        <is>
          <t>STAR FOODS INC.</t>
        </is>
      </c>
      <c r="F29" t="inlineStr">
        <is>
          <t>APJ</t>
        </is>
      </c>
      <c r="G29" s="11" t="n">
        <v>33371.16</v>
      </c>
      <c r="H29" s="11" t="n"/>
      <c r="I29" s="11" t="n">
        <v>245771.11</v>
      </c>
      <c r="J29" s="11" t="n">
        <v>33371.16</v>
      </c>
    </row>
    <row r="30">
      <c r="A30" s="21" t="n">
        <v>45730</v>
      </c>
      <c r="B30" s="21" t="n">
        <v>45730</v>
      </c>
      <c r="C30" t="inlineStr">
        <is>
          <t>219005</t>
        </is>
      </c>
      <c r="D30" t="inlineStr">
        <is>
          <t>Bill - STAR FOODS INC.: Food items/Groceries</t>
        </is>
      </c>
      <c r="E30" t="inlineStr">
        <is>
          <t>STAR FOODS INC.</t>
        </is>
      </c>
      <c r="F30" t="inlineStr">
        <is>
          <t>APJ</t>
        </is>
      </c>
      <c r="G30" s="11" t="n">
        <v>33258.36</v>
      </c>
      <c r="H30" s="11" t="n"/>
      <c r="I30" s="11" t="n">
        <v>279029.47</v>
      </c>
      <c r="J30" s="11" t="n">
        <v>33258.36</v>
      </c>
    </row>
    <row r="31">
      <c r="A31" s="21" t="n">
        <v>45736</v>
      </c>
      <c r="B31" s="21" t="n">
        <v>45736</v>
      </c>
      <c r="D31" t="inlineStr">
        <is>
          <t>Reclass CIS Invoice 51613</t>
        </is>
      </c>
      <c r="F31" t="inlineStr">
        <is>
          <t>GJ</t>
        </is>
      </c>
      <c r="G31" s="11" t="n">
        <v>7456.44</v>
      </c>
      <c r="H31" s="11" t="n"/>
      <c r="I31" s="11" t="n">
        <v>286485.91</v>
      </c>
      <c r="J31" s="11" t="n">
        <v>7456.44</v>
      </c>
    </row>
    <row r="32">
      <c r="A32" s="21" t="n">
        <v>45736</v>
      </c>
      <c r="B32" s="21" t="n">
        <v>45736</v>
      </c>
      <c r="D32" t="inlineStr">
        <is>
          <t>Reclass CIS Invoice 51613</t>
        </is>
      </c>
      <c r="F32" t="inlineStr">
        <is>
          <t>GJ</t>
        </is>
      </c>
      <c r="G32" s="11" t="n">
        <v>23234.9</v>
      </c>
      <c r="H32" s="11" t="n"/>
      <c r="I32" s="11" t="n">
        <v>309720.81</v>
      </c>
      <c r="J32" s="11" t="n">
        <v>23234.9</v>
      </c>
    </row>
    <row r="33">
      <c r="A33" s="21" t="n">
        <v>45737</v>
      </c>
      <c r="B33" s="21" t="n">
        <v>45737</v>
      </c>
      <c r="C33" t="inlineStr">
        <is>
          <t>Reversed -</t>
        </is>
      </c>
      <c r="D33" t="inlineStr">
        <is>
          <t>Reversed -- Reclass CIS Invoice 51613</t>
        </is>
      </c>
      <c r="F33" t="inlineStr">
        <is>
          <t>GJ</t>
        </is>
      </c>
      <c r="G33" s="11" t="n"/>
      <c r="H33" s="11" t="n">
        <v>7456.44</v>
      </c>
      <c r="I33" s="11" t="n">
        <v>302264.37</v>
      </c>
      <c r="J33" s="11" t="n">
        <v>-7456.44</v>
      </c>
    </row>
    <row r="34">
      <c r="A34" s="21" t="n">
        <v>45737</v>
      </c>
      <c r="B34" s="21" t="n">
        <v>45737</v>
      </c>
      <c r="C34" t="inlineStr">
        <is>
          <t>Reversed -</t>
        </is>
      </c>
      <c r="D34" t="inlineStr">
        <is>
          <t>Reversed -- Reclass CIS Invoice 51613</t>
        </is>
      </c>
      <c r="F34" t="inlineStr">
        <is>
          <t>GJ</t>
        </is>
      </c>
      <c r="G34" s="11" t="n"/>
      <c r="H34" s="11" t="n">
        <v>23234.9</v>
      </c>
      <c r="I34" s="11" t="n">
        <v>279029.47</v>
      </c>
      <c r="J34" s="11" t="n">
        <v>-23234.9</v>
      </c>
    </row>
    <row r="35">
      <c r="A35" s="21" t="n">
        <v>45738</v>
      </c>
      <c r="B35" s="21" t="n">
        <v>45738</v>
      </c>
      <c r="C35" t="inlineStr">
        <is>
          <t>31631379</t>
        </is>
      </c>
      <c r="D35" t="inlineStr">
        <is>
          <t>Bill - NIAGARA BOTTLING, LLC: NDW05L40PDRPBN 05L.DR.NIAGARA.40P.N.48.PB</t>
        </is>
      </c>
      <c r="E35" t="inlineStr">
        <is>
          <t>NIAGARA BOTTLING, LLC</t>
        </is>
      </c>
      <c r="F35" t="inlineStr">
        <is>
          <t>APJ</t>
        </is>
      </c>
      <c r="G35" s="11" t="n">
        <v>3561.6</v>
      </c>
      <c r="H35" s="11" t="n"/>
      <c r="I35" s="11" t="n">
        <v>282591.07</v>
      </c>
      <c r="J35" s="11" t="n">
        <v>3561.6</v>
      </c>
    </row>
    <row r="36">
      <c r="A36" s="21" t="n">
        <v>45745</v>
      </c>
      <c r="B36" s="21" t="n">
        <v>45745</v>
      </c>
      <c r="C36" t="inlineStr">
        <is>
          <t>31695234</t>
        </is>
      </c>
      <c r="D36" t="inlineStr">
        <is>
          <t>Bill - NIAGARA BOTTLING, LLC: NDW05L40PDRPBN 05L.DR.NIAGARA.40P.N.48.PB</t>
        </is>
      </c>
      <c r="E36" t="inlineStr">
        <is>
          <t>NIAGARA BOTTLING, LLC</t>
        </is>
      </c>
      <c r="F36" t="inlineStr">
        <is>
          <t>APJ</t>
        </is>
      </c>
      <c r="G36" s="11" t="n">
        <v>3561.6</v>
      </c>
      <c r="H36" s="11" t="n"/>
      <c r="I36" s="11" t="n">
        <v>286152.67</v>
      </c>
      <c r="J36" s="11" t="n">
        <v>3561.6</v>
      </c>
    </row>
    <row r="37">
      <c r="A37" s="21" t="n">
        <v>45748</v>
      </c>
      <c r="B37" s="21" t="n">
        <v>45748</v>
      </c>
      <c r="C37" t="inlineStr">
        <is>
          <t>31492471</t>
        </is>
      </c>
      <c r="D37" t="inlineStr">
        <is>
          <t>Bill - NIAGARA BOTTLING, LLC: NDW05L40PDRPBN 05L.DR.NIAGARA.40P.N.48.PB</t>
        </is>
      </c>
      <c r="E37" t="inlineStr">
        <is>
          <t>NIAGARA BOTTLING, LLC</t>
        </is>
      </c>
      <c r="F37" t="inlineStr">
        <is>
          <t>APJ</t>
        </is>
      </c>
      <c r="G37" s="11" t="n">
        <v>3561.6</v>
      </c>
      <c r="H37" s="11" t="n"/>
      <c r="I37" s="11" t="n">
        <v>289714.27</v>
      </c>
      <c r="J37" s="11" t="n">
        <v>3561.6</v>
      </c>
    </row>
    <row r="38">
      <c r="A38" s="21" t="n">
        <v>45748</v>
      </c>
      <c r="B38" s="21" t="n">
        <v>45748</v>
      </c>
      <c r="C38" t="inlineStr">
        <is>
          <t>31632094</t>
        </is>
      </c>
      <c r="D38" t="inlineStr">
        <is>
          <t>Bill - NIAGARA BOTTLING, LLC: 960 Cases @ $3.71</t>
        </is>
      </c>
      <c r="E38" t="inlineStr">
        <is>
          <t>NIAGARA BOTTLING, LLC</t>
        </is>
      </c>
      <c r="F38" t="inlineStr">
        <is>
          <t>APJ</t>
        </is>
      </c>
      <c r="G38" s="11" t="n">
        <v>3561.6</v>
      </c>
      <c r="H38" s="11" t="n"/>
      <c r="I38" s="11" t="n">
        <v>293275.87</v>
      </c>
      <c r="J38" s="11" t="n">
        <v>3561.6</v>
      </c>
    </row>
    <row r="39">
      <c r="A39" s="21" t="n">
        <v>45748</v>
      </c>
      <c r="B39" s="21" t="n">
        <v>45748</v>
      </c>
      <c r="D39" t="inlineStr">
        <is>
          <t>APRIL GOOD CC; ALBERTSONS.COM #3204 877-505-4040, AZ-86403 ; water</t>
        </is>
      </c>
      <c r="F39" t="inlineStr">
        <is>
          <t>GJ</t>
        </is>
      </c>
      <c r="G39" s="11" t="n">
        <v>89.84999999999999</v>
      </c>
      <c r="H39" s="11" t="n"/>
      <c r="I39" s="11" t="n">
        <v>293365.72</v>
      </c>
      <c r="J39" s="11" t="n">
        <v>89.84999999999999</v>
      </c>
    </row>
    <row r="40">
      <c r="A40" s="21" t="n">
        <v>45751</v>
      </c>
      <c r="B40" s="21" t="n">
        <v>45751</v>
      </c>
      <c r="C40" t="inlineStr">
        <is>
          <t>219046</t>
        </is>
      </c>
      <c r="D40" t="inlineStr">
        <is>
          <t>Bill - STAR FOODS INC.: Food items/Groceries</t>
        </is>
      </c>
      <c r="E40" t="inlineStr">
        <is>
          <t>STAR FOODS INC.</t>
        </is>
      </c>
      <c r="F40" t="inlineStr">
        <is>
          <t>APJ</t>
        </is>
      </c>
      <c r="G40" s="11" t="n">
        <v>33515.04</v>
      </c>
      <c r="H40" s="11" t="n"/>
      <c r="I40" s="11" t="n">
        <v>326880.76</v>
      </c>
      <c r="J40" s="11" t="n">
        <v>33515.04</v>
      </c>
    </row>
    <row r="41">
      <c r="A41" s="21" t="n">
        <v>45757</v>
      </c>
      <c r="B41" s="21" t="n">
        <v>45757</v>
      </c>
      <c r="C41" t="inlineStr">
        <is>
          <t>219047</t>
        </is>
      </c>
      <c r="D41" t="inlineStr">
        <is>
          <t>Bill - STAR FOODS INC.: Food items/Groceries</t>
        </is>
      </c>
      <c r="E41" t="inlineStr">
        <is>
          <t>STAR FOODS INC.</t>
        </is>
      </c>
      <c r="F41" t="inlineStr">
        <is>
          <t>APJ</t>
        </is>
      </c>
      <c r="G41" s="11" t="n">
        <v>33515.04</v>
      </c>
      <c r="H41" s="11" t="n"/>
      <c r="I41" s="11" t="n">
        <v>360395.8</v>
      </c>
      <c r="J41" s="11" t="n">
        <v>33515.04</v>
      </c>
    </row>
    <row r="42">
      <c r="A42" s="21" t="n">
        <v>45809</v>
      </c>
      <c r="B42" s="21" t="n">
        <v>45809</v>
      </c>
      <c r="C42" t="inlineStr">
        <is>
          <t>32261905</t>
        </is>
      </c>
      <c r="D42" t="inlineStr">
        <is>
          <t>Bill - NIAGARA BOTTLING, LLC: 960 Cases @ $3.71</t>
        </is>
      </c>
      <c r="E42" t="inlineStr">
        <is>
          <t>NIAGARA BOTTLING, LLC</t>
        </is>
      </c>
      <c r="F42" t="inlineStr">
        <is>
          <t>APJ</t>
        </is>
      </c>
      <c r="G42" s="11" t="n">
        <v>3561.6</v>
      </c>
      <c r="H42" s="11" t="n"/>
      <c r="I42" s="11" t="n">
        <v>363957.4</v>
      </c>
      <c r="J42" s="11" t="n">
        <v>3561.6</v>
      </c>
    </row>
    <row r="43">
      <c r="A43" s="21" t="n">
        <v>45813</v>
      </c>
      <c r="B43" s="21" t="n">
        <v>45813</v>
      </c>
      <c r="C43" t="inlineStr">
        <is>
          <t>219103</t>
        </is>
      </c>
      <c r="D43" t="inlineStr">
        <is>
          <t>Bill - STAR FOODS INC.: Food items/Groceries</t>
        </is>
      </c>
      <c r="E43" t="inlineStr">
        <is>
          <t>STAR FOODS INC.</t>
        </is>
      </c>
      <c r="F43" t="inlineStr">
        <is>
          <t>APJ</t>
        </is>
      </c>
      <c r="G43" s="11" t="n">
        <v>33515.04</v>
      </c>
      <c r="H43" s="11" t="n"/>
      <c r="I43" s="11" t="n">
        <v>397472.44</v>
      </c>
      <c r="J43" s="11" t="n">
        <v>33515.04</v>
      </c>
    </row>
    <row r="44">
      <c r="A44" s="21" t="n">
        <v>45822</v>
      </c>
      <c r="B44" s="21" t="n">
        <v>45822</v>
      </c>
      <c r="C44" t="inlineStr">
        <is>
          <t>32416766</t>
        </is>
      </c>
      <c r="D44" t="inlineStr">
        <is>
          <t>Bill - NIAGARA BOTTLING, LLC: 960 Cases @ $3.71</t>
        </is>
      </c>
      <c r="E44" t="inlineStr">
        <is>
          <t>NIAGARA BOTTLING, LLC</t>
        </is>
      </c>
      <c r="F44" t="inlineStr">
        <is>
          <t>APJ</t>
        </is>
      </c>
      <c r="G44" s="11" t="n">
        <v>3561.6</v>
      </c>
      <c r="H44" s="11" t="n"/>
      <c r="I44" s="11" t="n">
        <v>401034.04</v>
      </c>
      <c r="J44" s="11" t="n">
        <v>3561.6</v>
      </c>
    </row>
    <row r="45">
      <c r="A45" s="21" t="n">
        <v>45839</v>
      </c>
      <c r="B45" s="21" t="n">
        <v>45839</v>
      </c>
      <c r="C45" t="inlineStr">
        <is>
          <t>219140</t>
        </is>
      </c>
      <c r="D45" t="inlineStr">
        <is>
          <t>Bill - STAR FOODS INC.: Food items/Groceries</t>
        </is>
      </c>
      <c r="E45" t="inlineStr">
        <is>
          <t>STAR FOODS INC.</t>
        </is>
      </c>
      <c r="F45" t="inlineStr">
        <is>
          <t>APJ</t>
        </is>
      </c>
      <c r="G45" s="11" t="n">
        <v>30336</v>
      </c>
      <c r="H45" s="11" t="n"/>
      <c r="I45" s="11" t="n">
        <v>431370.04</v>
      </c>
      <c r="J45" s="11" t="n">
        <v>30336</v>
      </c>
    </row>
    <row r="46">
      <c r="A46" s="21" t="n">
        <v>45846</v>
      </c>
      <c r="B46" s="21" t="n">
        <v>45846</v>
      </c>
      <c r="C46" t="inlineStr">
        <is>
          <t>32542525</t>
        </is>
      </c>
      <c r="D46" t="inlineStr">
        <is>
          <t>Bill - NIAGARA BOTTLING, LLC: 05L.DR.NIAGARA.40P.N.48.CH</t>
        </is>
      </c>
      <c r="E46" t="inlineStr">
        <is>
          <t>NIAGARA BOTTLING, LLC</t>
        </is>
      </c>
      <c r="F46" t="inlineStr">
        <is>
          <t>APJ</t>
        </is>
      </c>
      <c r="G46" s="11" t="n">
        <v>684.8</v>
      </c>
      <c r="H46" s="11" t="n"/>
      <c r="I46" s="11" t="n">
        <v>432054.84</v>
      </c>
      <c r="J46" s="11" t="n">
        <v>684.8</v>
      </c>
    </row>
    <row r="47">
      <c r="A47" s="21" t="n">
        <v>45846</v>
      </c>
      <c r="B47" s="21" t="n">
        <v>45846</v>
      </c>
      <c r="C47" t="inlineStr">
        <is>
          <t>32542525</t>
        </is>
      </c>
      <c r="D47" t="inlineStr">
        <is>
          <t>Bill - NIAGARA BOTTLING, LLC: 05L.DR.NIAGARA.40P.N.48.CH</t>
        </is>
      </c>
      <c r="E47" t="inlineStr">
        <is>
          <t>NIAGARA BOTTLING, LLC</t>
        </is>
      </c>
      <c r="F47" t="inlineStr">
        <is>
          <t>APJ</t>
        </is>
      </c>
      <c r="G47" s="11" t="n">
        <v>2876.8</v>
      </c>
      <c r="H47" s="11" t="n"/>
      <c r="I47" s="11" t="n">
        <v>434931.64</v>
      </c>
      <c r="J47" s="11" t="n">
        <v>2876.8</v>
      </c>
    </row>
    <row r="48">
      <c r="A48" s="21" t="n">
        <v>45852</v>
      </c>
      <c r="B48" s="21" t="n">
        <v>45852</v>
      </c>
      <c r="C48" t="inlineStr">
        <is>
          <t>219200</t>
        </is>
      </c>
      <c r="D48" t="inlineStr">
        <is>
          <t>Bill - STAR FOODS INC.: Food items/Groceries</t>
        </is>
      </c>
      <c r="E48" t="inlineStr">
        <is>
          <t>STAR FOODS INC.</t>
        </is>
      </c>
      <c r="F48" t="inlineStr">
        <is>
          <t>APJ</t>
        </is>
      </c>
      <c r="G48" s="11" t="n">
        <v>33258.96</v>
      </c>
      <c r="H48" s="11" t="n"/>
      <c r="I48" s="11" t="n">
        <v>468190.6</v>
      </c>
      <c r="J48" s="11" t="n">
        <v>33258.96</v>
      </c>
    </row>
    <row r="49">
      <c r="A49" s="21" t="n">
        <v>45859</v>
      </c>
      <c r="B49" s="21" t="n">
        <v>45859</v>
      </c>
      <c r="C49" t="inlineStr">
        <is>
          <t>219201</t>
        </is>
      </c>
      <c r="D49" t="inlineStr">
        <is>
          <t>Bill - STAR FOODS INC.: Food items/Groceries</t>
        </is>
      </c>
      <c r="E49" t="inlineStr">
        <is>
          <t>STAR FOODS INC.</t>
        </is>
      </c>
      <c r="F49" t="inlineStr">
        <is>
          <t>APJ</t>
        </is>
      </c>
      <c r="G49" s="11" t="n">
        <v>32767.92</v>
      </c>
      <c r="H49" s="11" t="n"/>
      <c r="I49" s="11" t="n">
        <v>500958.52</v>
      </c>
      <c r="J49" s="11" t="n">
        <v>32767.92</v>
      </c>
    </row>
    <row r="50">
      <c r="A50" s="21" t="n">
        <v>45863</v>
      </c>
      <c r="B50" s="21" t="n">
        <v>45863</v>
      </c>
      <c r="C50" t="inlineStr">
        <is>
          <t>219202</t>
        </is>
      </c>
      <c r="D50" t="inlineStr">
        <is>
          <t>Bill - STAR FOODS INC.: Food items/Groceries</t>
        </is>
      </c>
      <c r="E50" t="inlineStr">
        <is>
          <t>STAR FOODS INC.</t>
        </is>
      </c>
      <c r="F50" t="inlineStr">
        <is>
          <t>APJ</t>
        </is>
      </c>
      <c r="G50" s="11" t="n">
        <v>32604.72</v>
      </c>
      <c r="H50" s="11" t="n"/>
      <c r="I50" s="11" t="n">
        <v>533563.24</v>
      </c>
      <c r="J50" s="11" t="n">
        <v>32604.72</v>
      </c>
    </row>
    <row r="51">
      <c r="A51" s="21" t="n">
        <v>45864</v>
      </c>
      <c r="B51" s="21" t="n">
        <v>45864</v>
      </c>
      <c r="C51" t="inlineStr">
        <is>
          <t>32748544</t>
        </is>
      </c>
      <c r="D51" t="inlineStr">
        <is>
          <t>Bill - NIAGARA BOTTLING, LLC: 05L.DR.NIAGARA.40P.N.48.CH</t>
        </is>
      </c>
      <c r="E51" t="inlineStr">
        <is>
          <t>NIAGARA BOTTLING, LLC</t>
        </is>
      </c>
      <c r="F51" t="inlineStr">
        <is>
          <t>APJ</t>
        </is>
      </c>
      <c r="G51" s="11" t="n">
        <v>684.8</v>
      </c>
      <c r="H51" s="11" t="n"/>
      <c r="I51" s="11" t="n">
        <v>534248.04</v>
      </c>
      <c r="J51" s="11" t="n">
        <v>684.8</v>
      </c>
    </row>
    <row r="52">
      <c r="A52" s="21" t="n">
        <v>45864</v>
      </c>
      <c r="B52" s="21" t="n">
        <v>45864</v>
      </c>
      <c r="C52" t="inlineStr">
        <is>
          <t>32748544</t>
        </is>
      </c>
      <c r="D52" t="inlineStr">
        <is>
          <t>Bill - NIAGARA BOTTLING, LLC: 05L.DR.NIAGARA.40P.N.48.CH</t>
        </is>
      </c>
      <c r="E52" t="inlineStr">
        <is>
          <t>NIAGARA BOTTLING, LLC</t>
        </is>
      </c>
      <c r="F52" t="inlineStr">
        <is>
          <t>APJ</t>
        </is>
      </c>
      <c r="G52" s="11" t="n">
        <v>2876.8</v>
      </c>
      <c r="H52" s="11" t="n"/>
      <c r="I52" s="11" t="n">
        <v>537124.84</v>
      </c>
      <c r="J52" s="11" t="n">
        <v>2876.8</v>
      </c>
    </row>
    <row r="53">
      <c r="A53" s="21" t="n">
        <v>45875</v>
      </c>
      <c r="B53" s="21" t="n">
        <v>45875</v>
      </c>
      <c r="C53" t="inlineStr">
        <is>
          <t>219192</t>
        </is>
      </c>
      <c r="D53" t="inlineStr">
        <is>
          <t>Bill - STAR FOODS INC.: Food items/Groceries</t>
        </is>
      </c>
      <c r="E53" t="inlineStr">
        <is>
          <t>STAR FOODS INC.</t>
        </is>
      </c>
      <c r="F53" t="inlineStr">
        <is>
          <t>APJ</t>
        </is>
      </c>
      <c r="G53" s="11" t="n">
        <v>30336</v>
      </c>
      <c r="H53" s="11" t="n"/>
      <c r="I53" s="11" t="n">
        <v>567460.84</v>
      </c>
      <c r="J53" s="11" t="n">
        <v>30336</v>
      </c>
    </row>
    <row r="54">
      <c r="A54" s="21" t="n">
        <v>45878</v>
      </c>
      <c r="B54" s="21" t="n">
        <v>45878</v>
      </c>
      <c r="C54" t="inlineStr">
        <is>
          <t>32916501</t>
        </is>
      </c>
      <c r="D54" t="inlineStr">
        <is>
          <t>Bill - NIAGARA BOTTLING, LLC: 05L.DR.NIAGARA.40P.N.48.CH</t>
        </is>
      </c>
      <c r="E54" t="inlineStr">
        <is>
          <t>NIAGARA BOTTLING, LLC</t>
        </is>
      </c>
      <c r="F54" t="inlineStr">
        <is>
          <t>APJ</t>
        </is>
      </c>
      <c r="G54" s="11" t="n">
        <v>3561.6</v>
      </c>
      <c r="H54" s="11" t="n"/>
      <c r="I54" s="11" t="n">
        <v>571022.4399999999</v>
      </c>
      <c r="J54" s="11" t="n">
        <v>3561.6</v>
      </c>
    </row>
    <row r="55">
      <c r="A55" s="21" t="n">
        <v>45892</v>
      </c>
      <c r="B55" s="21" t="n">
        <v>45892</v>
      </c>
      <c r="C55" t="inlineStr">
        <is>
          <t>33047719</t>
        </is>
      </c>
      <c r="D55" t="inlineStr">
        <is>
          <t>Bill - NIAGARA BOTTLING, LLC: 05L.DR.NIAGARA.40P.N.48.CH</t>
        </is>
      </c>
      <c r="E55" t="inlineStr">
        <is>
          <t>NIAGARA BOTTLING, LLC</t>
        </is>
      </c>
      <c r="F55" t="inlineStr">
        <is>
          <t>APJ</t>
        </is>
      </c>
      <c r="G55" s="11" t="n">
        <v>3561.6</v>
      </c>
      <c r="H55" s="11" t="n"/>
      <c r="I55" s="11" t="n">
        <v>574584.04</v>
      </c>
      <c r="J55" s="11" t="n">
        <v>3561.6</v>
      </c>
    </row>
    <row r="56">
      <c r="A56" s="21" t="n">
        <v>45906</v>
      </c>
      <c r="B56" s="21" t="n">
        <v>45906</v>
      </c>
      <c r="C56" t="inlineStr">
        <is>
          <t>33167113</t>
        </is>
      </c>
      <c r="D56" t="inlineStr">
        <is>
          <t>Bill - NIAGARA BOTTLING, LLC: 05L.DR.NIAGARA.40P.N.48.CH</t>
        </is>
      </c>
      <c r="E56" t="inlineStr">
        <is>
          <t>NIAGARA BOTTLING, LLC</t>
        </is>
      </c>
      <c r="F56" t="inlineStr">
        <is>
          <t>APJ</t>
        </is>
      </c>
      <c r="G56" s="11" t="n">
        <v>3561.6</v>
      </c>
      <c r="H56" s="11" t="n"/>
      <c r="I56" s="11" t="n">
        <v>578145.64</v>
      </c>
      <c r="J56" s="11" t="n">
        <v>3561.6</v>
      </c>
    </row>
    <row r="57">
      <c r="A57" s="21" t="n">
        <v>45920</v>
      </c>
      <c r="B57" s="21" t="n">
        <v>45920</v>
      </c>
      <c r="C57" t="inlineStr">
        <is>
          <t>33369264</t>
        </is>
      </c>
      <c r="D57" t="inlineStr">
        <is>
          <t>Bill - NIAGARA BOTTLING, LLC: 05L.DR.NIAGARA.40P.N.48.CH</t>
        </is>
      </c>
      <c r="E57" t="inlineStr">
        <is>
          <t>NIAGARA BOTTLING, LLC</t>
        </is>
      </c>
      <c r="F57" t="inlineStr">
        <is>
          <t>APJ</t>
        </is>
      </c>
      <c r="G57" s="11" t="n">
        <v>3561.6</v>
      </c>
      <c r="H57" s="11" t="n"/>
      <c r="I57" s="11" t="n">
        <v>581707.24</v>
      </c>
      <c r="J57" s="11" t="n">
        <v>3561.6</v>
      </c>
    </row>
    <row r="58">
      <c r="A58" s="21" t="n">
        <v>45922</v>
      </c>
      <c r="B58" s="21" t="n">
        <v>45922</v>
      </c>
      <c r="C58" t="inlineStr">
        <is>
          <t>52946</t>
        </is>
      </c>
      <c r="D58" t="inlineStr">
        <is>
          <t>Bill - CIS, LLC: Food items</t>
        </is>
      </c>
      <c r="E58" t="inlineStr">
        <is>
          <t>CIS, LLC</t>
        </is>
      </c>
      <c r="F58" t="inlineStr">
        <is>
          <t>APJ</t>
        </is>
      </c>
      <c r="G58" s="11" t="n">
        <v>23902.56</v>
      </c>
      <c r="H58" s="11" t="n"/>
      <c r="I58" s="11" t="n">
        <v>605609.8</v>
      </c>
      <c r="J58" s="11" t="n">
        <v>23902.56</v>
      </c>
    </row>
    <row r="59">
      <c r="A59" s="21" t="n">
        <v>45930</v>
      </c>
      <c r="B59" s="21" t="n">
        <v>45930</v>
      </c>
      <c r="D59" t="inlineStr">
        <is>
          <t>Reclass CIS Invoice 51613</t>
        </is>
      </c>
      <c r="F59" t="inlineStr">
        <is>
          <t>GJ</t>
        </is>
      </c>
      <c r="G59" s="11" t="n">
        <v>30691.34</v>
      </c>
      <c r="H59" s="11" t="n"/>
      <c r="I59" s="11" t="n">
        <v>636301.14</v>
      </c>
      <c r="J59" s="11" t="n">
        <v>30691.34</v>
      </c>
    </row>
    <row r="60">
      <c r="A60" s="21" t="n">
        <v>45736</v>
      </c>
      <c r="B60" s="21" t="n">
        <v>45736</v>
      </c>
      <c r="C60" t="inlineStr">
        <is>
          <t>51613</t>
        </is>
      </c>
      <c r="D60" t="inlineStr">
        <is>
          <t>Bill - CIS, LLC: Food items</t>
        </is>
      </c>
      <c r="E60" t="inlineStr">
        <is>
          <t>CIS, LLC</t>
        </is>
      </c>
      <c r="F60" t="inlineStr">
        <is>
          <t>APJ</t>
        </is>
      </c>
      <c r="G60" s="11" t="n">
        <v>30691.34</v>
      </c>
      <c r="H60" s="11" t="n"/>
      <c r="I60" s="11" t="n">
        <v>30691.34</v>
      </c>
      <c r="J60" s="11" t="n">
        <v>30691.34</v>
      </c>
    </row>
    <row r="61">
      <c r="A61" s="21" t="n">
        <v>45930</v>
      </c>
      <c r="B61" s="21" t="n">
        <v>45930</v>
      </c>
      <c r="D61" t="inlineStr">
        <is>
          <t>Reclass CIS Invoice 51613</t>
        </is>
      </c>
      <c r="F61" t="inlineStr">
        <is>
          <t>GJ</t>
        </is>
      </c>
      <c r="G61" s="11" t="n"/>
      <c r="H61" s="11" t="n">
        <v>30691.34</v>
      </c>
      <c r="I61" s="11" t="n">
        <v>0</v>
      </c>
      <c r="J61" s="11" t="n">
        <v>-30691.34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2026-04-17T07:19:48Z</dcterms:created>
  <dcterms:modified xmlns:dcterms="http://purl.org/dc/terms/" xmlns:xsi="http://www.w3.org/2001/XMLSchema-instance" xsi:type="dcterms:W3CDTF">2026-04-18T00:56:37Z</dcterms:modified>
  <cp:lastModifiedBy>Abdullah Alaradi</cp:lastModifiedBy>
</cp:coreProperties>
</file>